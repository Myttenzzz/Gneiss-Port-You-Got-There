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harts/colors1.xml" ContentType="application/vnd.ms-office.chartcolorstyle+xml"/>
  <Override PartName="/xl/charts/style2.xml" ContentType="application/vnd.ms-office.chartstyle+xml"/>
  <Override PartName="/xl/charts/colors4.xml" ContentType="application/vnd.ms-office.chartcolorstyle+xml"/>
  <Override PartName="/xl/charts/chart3.xml" ContentType="application/vnd.openxmlformats-officedocument.drawingml.chart+xml"/>
  <Override PartName="/xl/charts/chart2.xml" ContentType="application/vnd.openxmlformats-officedocument.drawingml.chart+xml"/>
  <Override PartName="/xl/charts/colors2.xml" ContentType="application/vnd.ms-office.chartcolorstyle+xml"/>
  <Override PartName="/xl/charts/style3.xml" ContentType="application/vnd.ms-office.chartstyle+xml"/>
  <Override PartName="/xl/charts/chart4.xml" ContentType="application/vnd.openxmlformats-officedocument.drawingml.chart+xml"/>
  <Override PartName="/xl/charts/style1.xml" ContentType="application/vnd.ms-office.chartstyle+xml"/>
  <Override PartName="/xl/charts/colors3.xml" ContentType="application/vnd.ms-office.chartcolorstyle+xml"/>
  <Override PartName="/xl/charts/chart1.xml" ContentType="application/vnd.openxmlformats-officedocument.drawingml.chart+xml"/>
  <Override PartName="/xl/charts/style4.xml" ContentType="application/vnd.ms-office.chartsty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ting Calc" sheetId="1" state="visible" r:id="rId3"/>
    <sheet name="Crop Data" sheetId="2" state="visible" r:id="rId4"/>
    <sheet name="Planting Maths"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<sst xmlns="http://schemas.openxmlformats.org/spreadsheetml/2006/main" count="111" uniqueCount="80">
  <si>
    <t xml:space="preserve">Gneiss's Vintage Story Planting Estimator</t>
  </si>
  <si>
    <t xml:space="preserve">Year average</t>
  </si>
  <si>
    <t xml:space="preserve">Latitude</t>
  </si>
  <si>
    <t xml:space="preserve">January</t>
  </si>
  <si>
    <t xml:space="preserve">February</t>
  </si>
  <si>
    <t xml:space="preserve">March</t>
  </si>
  <si>
    <t xml:space="preserve">April</t>
  </si>
  <si>
    <t xml:space="preserve">May</t>
  </si>
  <si>
    <t xml:space="preserve">June</t>
  </si>
  <si>
    <t xml:space="preserve">Rainfall %</t>
  </si>
  <si>
    <t xml:space="preserve">Growth Speed</t>
  </si>
  <si>
    <t xml:space="preserve">Noise Adjust</t>
  </si>
  <si>
    <t xml:space="preserve">High</t>
  </si>
  <si>
    <t xml:space="preserve">Greenhouse+</t>
  </si>
  <si>
    <t xml:space="preserve">Yes</t>
  </si>
  <si>
    <t xml:space="preserve">Low</t>
  </si>
  <si>
    <t xml:space="preserve">July</t>
  </si>
  <si>
    <t xml:space="preserve">August</t>
  </si>
  <si>
    <t xml:space="preserve">September</t>
  </si>
  <si>
    <t xml:space="preserve">October</t>
  </si>
  <si>
    <t xml:space="preserve">November</t>
  </si>
  <si>
    <t xml:space="preserve">December</t>
  </si>
  <si>
    <t xml:space="preserve">Crop</t>
  </si>
  <si>
    <t xml:space="preserve">Carrot</t>
  </si>
  <si>
    <t xml:space="preserve">Crop Temp Max</t>
  </si>
  <si>
    <t xml:space="preserve">Crop Temp Min</t>
  </si>
  <si>
    <t xml:space="preserve">Used Nutrient</t>
  </si>
  <si>
    <t xml:space="preserve">Growth Time</t>
  </si>
  <si>
    <r>
      <rPr>
        <sz val="10"/>
        <color rgb="FF000000"/>
        <rFont val="gallant12x22"/>
        <family val="0"/>
      </rPr>
      <t xml:space="preserve">Instructions: </t>
    </r>
    <r>
      <rPr>
        <b val="true"/>
        <sz val="10"/>
        <color rgb="FF000000"/>
        <rFont val="gallant12x22"/>
        <family val="0"/>
      </rPr>
      <t xml:space="preserve">Make a copy</t>
    </r>
    <r>
      <rPr>
        <sz val="10"/>
        <color rgb="FF000000"/>
        <rFont val="gallant12x22"/>
        <family val="0"/>
      </rPr>
      <t xml:space="preserve"> to your drive to edit and use. You will need to use the two commands </t>
    </r>
    <r>
      <rPr>
        <b val="true"/>
        <sz val="10"/>
        <color rgb="FF000000"/>
        <rFont val="gallant12x22"/>
        <family val="0"/>
      </rPr>
      <t xml:space="preserve">/wgen pos climate</t>
    </r>
    <r>
      <rPr>
        <sz val="10"/>
        <color rgb="FF000000"/>
        <rFont val="gallant12x22"/>
        <family val="0"/>
      </rPr>
      <t xml:space="preserve"> to get the Year avg and rainfall % then </t>
    </r>
    <r>
      <rPr>
        <b val="true"/>
        <sz val="10"/>
        <color rgb="FF000000"/>
        <rFont val="gallant12x22"/>
        <family val="0"/>
      </rPr>
      <t xml:space="preserve">/wgen pos latitude</t>
    </r>
    <r>
      <rPr>
        <sz val="10"/>
        <color rgb="FF000000"/>
        <rFont val="gallant12x22"/>
        <family val="0"/>
      </rPr>
      <t xml:space="preserve"> to get the latitude. These values are specific to the exact location and elevation you are standing at. Enter those values into the sheet. The growth speed only affects the displayed growth time in the below crop section. Insurance will add a buffer to the temps, there is a yearly and daily temp noise which is not accounted for here. If your crops are in a green house, select it to add +5 degrees. Dates in blue are too cold, and red are too hot for the selcted crop. Video with more instructions. </t>
    </r>
    <r>
      <rPr>
        <b val="true"/>
        <sz val="10"/>
        <color rgb="FF000000"/>
        <rFont val="gallant12x22"/>
        <family val="0"/>
      </rPr>
      <t xml:space="preserve">https://youtu.be/Bmj_BEn0Hy4</t>
    </r>
  </si>
  <si>
    <t xml:space="preserve">Port courtesy of Mytten</t>
  </si>
  <si>
    <t xml:space="preserve">Amaranth</t>
  </si>
  <si>
    <t xml:space="preserve">Bell Pepper</t>
  </si>
  <si>
    <t xml:space="preserve">Cabbage</t>
  </si>
  <si>
    <t xml:space="preserve">Cassava</t>
  </si>
  <si>
    <t xml:space="preserve">Flax</t>
  </si>
  <si>
    <t xml:space="preserve">Onion</t>
  </si>
  <si>
    <t xml:space="preserve">Parsnip</t>
  </si>
  <si>
    <t xml:space="preserve">Peanut</t>
  </si>
  <si>
    <t xml:space="preserve">Pineapple</t>
  </si>
  <si>
    <t xml:space="preserve">Pumpkin</t>
  </si>
  <si>
    <t xml:space="preserve">Rice</t>
  </si>
  <si>
    <t xml:space="preserve">Rye</t>
  </si>
  <si>
    <t xml:space="preserve">Soybean</t>
  </si>
  <si>
    <t xml:space="preserve">Spelt</t>
  </si>
  <si>
    <t xml:space="preserve">Sunflower</t>
  </si>
  <si>
    <t xml:space="preserve">Turnip</t>
  </si>
  <si>
    <t xml:space="preserve">Max</t>
  </si>
  <si>
    <t xml:space="preserve">Min</t>
  </si>
  <si>
    <t xml:space="preserve">Nutrient</t>
  </si>
  <si>
    <t xml:space="preserve">N</t>
  </si>
  <si>
    <t xml:space="preserve">K</t>
  </si>
  <si>
    <t xml:space="preserve">P</t>
  </si>
  <si>
    <t xml:space="preserve">Growth</t>
  </si>
  <si>
    <t xml:space="preserve">WorldGenTemperature</t>
  </si>
  <si>
    <t xml:space="preserve">heretemp</t>
  </si>
  <si>
    <t xml:space="preserve">latitude</t>
  </si>
  <si>
    <t xml:space="preserve">min temp</t>
  </si>
  <si>
    <t xml:space="preserve">max temp</t>
  </si>
  <si>
    <t xml:space="preserve">First Month</t>
  </si>
  <si>
    <t xml:space="preserve">First Day</t>
  </si>
  <si>
    <t xml:space="preserve">nutrient</t>
  </si>
  <si>
    <t xml:space="preserve">moisture</t>
  </si>
  <si>
    <t xml:space="preserve">Last Month</t>
  </si>
  <si>
    <t xml:space="preserve">Last Day</t>
  </si>
  <si>
    <t xml:space="preserve">seasonalVariationAmplitude</t>
  </si>
  <si>
    <t xml:space="preserve">distanceToJanuary</t>
  </si>
  <si>
    <t xml:space="preserve">yearRel</t>
  </si>
  <si>
    <t xml:space="preserve">month</t>
  </si>
  <si>
    <t xml:space="preserve">day</t>
  </si>
  <si>
    <t xml:space="preserve">diurnalVariationAmplitude</t>
  </si>
  <si>
    <t xml:space="preserve">time</t>
  </si>
  <si>
    <t xml:space="preserve">distanceTo6Am</t>
  </si>
  <si>
    <t xml:space="preserve">Estimated</t>
  </si>
  <si>
    <t xml:space="preserve">Actual yea 20</t>
  </si>
  <si>
    <t xml:space="preserve">Export</t>
  </si>
  <si>
    <t xml:space="preserve">Month</t>
  </si>
  <si>
    <t xml:space="preserve">Day</t>
  </si>
  <si>
    <t xml:space="preserve">Dist to Jan</t>
  </si>
  <si>
    <t xml:space="preserve">Smoothed</t>
  </si>
  <si>
    <t xml:space="preserve">Seasonal Variation</t>
  </si>
</sst>
</file>

<file path=xl/styles.xml><?xml version="1.0" encoding="utf-8"?>
<styleSheet xmlns="http://schemas.openxmlformats.org/spreadsheetml/2006/main">
  <numFmts count="5">
    <numFmt numFmtId="164" formatCode="0"/>
    <numFmt numFmtId="165" formatCode="General"/>
    <numFmt numFmtId="166" formatCode="h:mm"/>
    <numFmt numFmtId="167" formatCode="[$-409]h:mm"/>
    <numFmt numFmtId="168" formatCode="mmm\ d"/>
  </numFmts>
  <fonts count="13">
    <font>
      <sz val="10"/>
      <color rgb="FF000000"/>
      <name val="Arial"/>
      <family val="0"/>
    </font>
    <font>
      <sz val="10"/>
      <name val="Arial"/>
      <family val="0"/>
    </font>
    <font>
      <sz val="10"/>
      <name val="Arial"/>
      <family val="0"/>
    </font>
    <font>
      <sz val="10"/>
      <name val="Arial"/>
      <family val="0"/>
    </font>
    <font>
      <sz val="11"/>
      <color rgb="FF000000"/>
      <name val="gallant12x22"/>
      <family val="0"/>
    </font>
    <font>
      <sz val="11"/>
      <color rgb="FF000000"/>
      <name val="Arial"/>
      <family val="0"/>
    </font>
    <font>
      <sz val="20"/>
      <color rgb="FF000000"/>
      <name val="gallant12x22"/>
      <family val="0"/>
    </font>
    <font>
      <sz val="10"/>
      <color rgb="FF000000"/>
      <name val="gallant12x22"/>
      <family val="0"/>
    </font>
    <font>
      <b val="true"/>
      <sz val="11"/>
      <color rgb="FF000000"/>
      <name val="gallant12x22"/>
      <family val="0"/>
    </font>
    <font>
      <b val="true"/>
      <sz val="10"/>
      <color rgb="FF000000"/>
      <name val="gallant12x22"/>
      <family val="0"/>
    </font>
    <font>
      <sz val="11"/>
      <color rgb="FF000000"/>
      <name val="&quot;Aptos Narrow&quot;"/>
      <family val="0"/>
    </font>
    <font>
      <sz val="10"/>
      <color rgb="FF000000"/>
      <name val="Arial"/>
      <family val="2"/>
    </font>
    <font>
      <sz val="10"/>
      <color rgb="FF1A1A1A"/>
      <name val="Arial"/>
      <family val="2"/>
    </font>
  </fonts>
  <fills count="34">
    <fill>
      <patternFill patternType="none"/>
    </fill>
    <fill>
      <patternFill patternType="gray125"/>
    </fill>
    <fill>
      <patternFill patternType="solid">
        <fgColor rgb="FF666666"/>
        <bgColor rgb="FF7D5EB0"/>
      </patternFill>
    </fill>
    <fill>
      <patternFill patternType="solid">
        <fgColor rgb="FFB7B7B7"/>
        <bgColor rgb="FFB2BB83"/>
      </patternFill>
    </fill>
    <fill>
      <patternFill patternType="solid">
        <fgColor rgb="FFCCCCCC"/>
        <bgColor rgb="FFD9D9D9"/>
      </patternFill>
    </fill>
    <fill>
      <patternFill patternType="solid">
        <fgColor rgb="FFF3F3F3"/>
        <bgColor rgb="FFFFFFFF"/>
      </patternFill>
    </fill>
    <fill>
      <patternFill patternType="solid">
        <fgColor rgb="FF52B0EF"/>
        <bgColor rgb="FF46BDC6"/>
      </patternFill>
    </fill>
    <fill>
      <patternFill patternType="solid">
        <fgColor rgb="FF39D9F4"/>
        <bgColor rgb="FF46BDC6"/>
      </patternFill>
    </fill>
    <fill>
      <patternFill patternType="solid">
        <fgColor rgb="FF60F3D9"/>
        <bgColor rgb="FF39D9F4"/>
      </patternFill>
    </fill>
    <fill>
      <patternFill patternType="solid">
        <fgColor rgb="FF97F3AA"/>
        <bgColor rgb="FFB6D7A8"/>
      </patternFill>
    </fill>
    <fill>
      <patternFill patternType="solid">
        <fgColor rgb="FFBFD36F"/>
        <bgColor rgb="FFAFD095"/>
      </patternFill>
    </fill>
    <fill>
      <patternFill patternType="solid">
        <fgColor rgb="FFCEA83F"/>
        <bgColor rgb="FFB9A66E"/>
      </patternFill>
    </fill>
    <fill>
      <patternFill patternType="solid">
        <fgColor rgb="FF6B85D7"/>
        <bgColor rgb="FF808EBE"/>
      </patternFill>
    </fill>
    <fill>
      <patternFill patternType="solid">
        <fgColor rgb="FF78C0CD"/>
        <bgColor rgb="FF86CCBF"/>
      </patternFill>
    </fill>
    <fill>
      <patternFill patternType="solid">
        <fgColor rgb="FF86CCBF"/>
        <bgColor rgb="FF7ED1D7"/>
      </patternFill>
    </fill>
    <fill>
      <patternFill patternType="solid">
        <fgColor rgb="FF9FCBA1"/>
        <bgColor rgb="FFAFD095"/>
      </patternFill>
    </fill>
    <fill>
      <patternFill patternType="solid">
        <fgColor rgb="FFB2BB83"/>
        <bgColor rgb="FFAFD095"/>
      </patternFill>
    </fill>
    <fill>
      <patternFill patternType="solid">
        <fgColor rgb="FFB9A66E"/>
        <bgColor rgb="FFB2BB83"/>
      </patternFill>
    </fill>
    <fill>
      <patternFill patternType="solid">
        <fgColor rgb="FFB6D7A8"/>
        <bgColor rgb="FFAFD095"/>
      </patternFill>
    </fill>
    <fill>
      <patternFill patternType="solid">
        <fgColor rgb="FFCFE2F3"/>
        <bgColor rgb="FFDDDDDD"/>
      </patternFill>
    </fill>
    <fill>
      <patternFill patternType="solid">
        <fgColor rgb="FFC97A2E"/>
        <bgColor rgb="FFAE756A"/>
      </patternFill>
    </fill>
    <fill>
      <patternFill patternType="solid">
        <fgColor rgb="FFB65442"/>
        <bgColor rgb="FF9C3D62"/>
      </patternFill>
    </fill>
    <fill>
      <patternFill patternType="solid">
        <fgColor rgb="FF9C3D62"/>
        <bgColor rgb="FF8A4186"/>
      </patternFill>
    </fill>
    <fill>
      <patternFill patternType="solid">
        <fgColor rgb="FF8A4186"/>
        <bgColor rgb="FF9C3D62"/>
      </patternFill>
    </fill>
    <fill>
      <patternFill patternType="solid">
        <fgColor rgb="FF7D5EB0"/>
        <bgColor rgb="FF926D94"/>
      </patternFill>
    </fill>
    <fill>
      <patternFill patternType="solid">
        <fgColor rgb="FFFFFFFF"/>
        <bgColor rgb="FFF3F3F3"/>
      </patternFill>
    </fill>
    <fill>
      <patternFill patternType="solid">
        <fgColor rgb="FFB88D66"/>
        <bgColor rgb="FFAE756A"/>
      </patternFill>
    </fill>
    <fill>
      <patternFill patternType="solid">
        <fgColor rgb="FFAE756A"/>
        <bgColor rgb="FFA16B7A"/>
      </patternFill>
    </fill>
    <fill>
      <patternFill patternType="solid">
        <fgColor rgb="FFA16B7A"/>
        <bgColor rgb="FFAE756A"/>
      </patternFill>
    </fill>
    <fill>
      <patternFill patternType="solid">
        <fgColor rgb="FF926D94"/>
        <bgColor rgb="FFA16B7A"/>
      </patternFill>
    </fill>
    <fill>
      <patternFill patternType="solid">
        <fgColor rgb="FF8779AB"/>
        <bgColor rgb="FF926D94"/>
      </patternFill>
    </fill>
    <fill>
      <patternFill patternType="solid">
        <fgColor rgb="FF808EBE"/>
        <bgColor rgb="FF6B85D7"/>
      </patternFill>
    </fill>
    <fill>
      <patternFill patternType="solid">
        <fgColor rgb="FFD9D9D9"/>
        <bgColor rgb="FFDDDDDD"/>
      </patternFill>
    </fill>
    <fill>
      <patternFill patternType="solid">
        <fgColor rgb="FFDDDDDD"/>
        <bgColor rgb="FFD9D9D9"/>
      </patternFill>
    </fill>
  </fills>
  <borders count="2">
    <border diagonalUp="false" diagonalDown="false">
      <left/>
      <right/>
      <top/>
      <bottom/>
      <diagonal/>
    </border>
    <border diagonalUp="false" diagonalDown="false">
      <left style="hair">
        <color rgb="FF333333"/>
      </left>
      <right style="hair">
        <color rgb="FF333333"/>
      </right>
      <top style="hair">
        <color rgb="FF333333"/>
      </top>
      <bottom style="hair">
        <color rgb="FF333333"/>
      </bottom>
      <diagonal/>
    </border>
  </borders>
  <cellStyleXfs count="20">
    <xf numFmtId="165"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5" fontId="0" fillId="0" borderId="0" xfId="0" applyFont="false" applyBorder="false" applyAlignment="fals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5" fontId="6" fillId="3" borderId="0" xfId="0" applyFont="true" applyBorder="true" applyAlignment="true" applyProtection="false">
      <alignment horizontal="center" vertical="center" textRotation="0" wrapText="false" indent="0" shrinkToFit="false"/>
      <protection locked="true" hidden="false"/>
    </xf>
    <xf numFmtId="165" fontId="4" fillId="4" borderId="0" xfId="0" applyFont="true" applyBorder="false" applyAlignment="true" applyProtection="false">
      <alignment horizontal="general" vertical="bottom" textRotation="0" wrapText="false" indent="0" shrinkToFit="false"/>
      <protection locked="true" hidden="false"/>
    </xf>
    <xf numFmtId="165" fontId="4" fillId="5" borderId="1" xfId="0" applyFont="true" applyBorder="true" applyAlignment="true" applyProtection="false">
      <alignment horizontal="right" vertical="bottom" textRotation="0" wrapText="false" indent="0" shrinkToFit="false"/>
      <protection locked="true" hidden="false"/>
    </xf>
    <xf numFmtId="165" fontId="4" fillId="3" borderId="0" xfId="0" applyFont="true" applyBorder="false" applyAlignment="true" applyProtection="false">
      <alignment horizontal="center" vertical="bottom" textRotation="0" wrapText="false" indent="0" shrinkToFit="false"/>
      <protection locked="true" hidden="false"/>
    </xf>
    <xf numFmtId="165" fontId="7" fillId="5" borderId="1" xfId="0" applyFont="true" applyBorder="true" applyAlignment="true" applyProtection="false">
      <alignment horizontal="right" vertical="bottom" textRotation="0" wrapText="false" indent="0" shrinkToFit="false"/>
      <protection locked="true" hidden="false"/>
    </xf>
    <xf numFmtId="165" fontId="4" fillId="3" borderId="0" xfId="0" applyFont="true" applyBorder="false" applyAlignment="false" applyProtection="false">
      <alignment horizontal="general" vertical="bottom" textRotation="0" wrapText="false" indent="0" shrinkToFit="false"/>
      <protection locked="true" hidden="false"/>
    </xf>
    <xf numFmtId="165" fontId="8" fillId="6" borderId="1" xfId="0" applyFont="true" applyBorder="true" applyAlignment="true" applyProtection="false">
      <alignment horizontal="center" vertical="bottom" textRotation="0" wrapText="false" indent="0" shrinkToFit="false"/>
      <protection locked="true" hidden="false"/>
    </xf>
    <xf numFmtId="165" fontId="8" fillId="7" borderId="1" xfId="0" applyFont="true" applyBorder="true" applyAlignment="true" applyProtection="false">
      <alignment horizontal="center" vertical="bottom" textRotation="0" wrapText="false" indent="0" shrinkToFit="false"/>
      <protection locked="true" hidden="false"/>
    </xf>
    <xf numFmtId="165" fontId="8" fillId="8" borderId="1" xfId="0" applyFont="true" applyBorder="true" applyAlignment="true" applyProtection="false">
      <alignment horizontal="center" vertical="bottom" textRotation="0" wrapText="false" indent="0" shrinkToFit="false"/>
      <protection locked="true" hidden="false"/>
    </xf>
    <xf numFmtId="165" fontId="8" fillId="9" borderId="1" xfId="0" applyFont="true" applyBorder="true" applyAlignment="true" applyProtection="false">
      <alignment horizontal="center" vertical="bottom" textRotation="0" wrapText="false" indent="0" shrinkToFit="false"/>
      <protection locked="true" hidden="false"/>
    </xf>
    <xf numFmtId="165" fontId="8" fillId="10" borderId="1" xfId="0" applyFont="true" applyBorder="true" applyAlignment="true" applyProtection="false">
      <alignment horizontal="center" vertical="bottom" textRotation="0" wrapText="false" indent="0" shrinkToFit="false"/>
      <protection locked="true" hidden="false"/>
    </xf>
    <xf numFmtId="165" fontId="8" fillId="11" borderId="1" xfId="0" applyFont="true" applyBorder="true" applyAlignment="true" applyProtection="false">
      <alignment horizontal="center" vertical="bottom" textRotation="0" wrapText="false" indent="0" shrinkToFit="false"/>
      <protection locked="true" hidden="false"/>
    </xf>
    <xf numFmtId="165" fontId="4" fillId="3" borderId="0" xfId="0" applyFont="true" applyBorder="false" applyAlignment="true" applyProtection="false">
      <alignment horizontal="general" vertical="bottom" textRotation="0" wrapText="false" indent="0" shrinkToFit="false"/>
      <protection locked="true" hidden="false"/>
    </xf>
    <xf numFmtId="165" fontId="4" fillId="12" borderId="1" xfId="0" applyFont="true" applyBorder="true" applyAlignment="true" applyProtection="false">
      <alignment horizontal="general" vertical="bottom" textRotation="0" wrapText="false" indent="0" shrinkToFit="false"/>
      <protection locked="true" hidden="false"/>
    </xf>
    <xf numFmtId="165" fontId="4" fillId="13" borderId="1" xfId="0" applyFont="true" applyBorder="true" applyAlignment="true" applyProtection="false">
      <alignment horizontal="general" vertical="bottom" textRotation="0" wrapText="false" indent="0" shrinkToFit="false"/>
      <protection locked="true" hidden="false"/>
    </xf>
    <xf numFmtId="165" fontId="4" fillId="14" borderId="1" xfId="0" applyFont="true" applyBorder="true" applyAlignment="true" applyProtection="false">
      <alignment horizontal="general" vertical="bottom" textRotation="0" wrapText="false" indent="0" shrinkToFit="false"/>
      <protection locked="true" hidden="false"/>
    </xf>
    <xf numFmtId="165" fontId="4" fillId="15" borderId="1" xfId="0" applyFont="true" applyBorder="true" applyAlignment="true" applyProtection="false">
      <alignment horizontal="general" vertical="bottom" textRotation="0" wrapText="false" indent="0" shrinkToFit="false"/>
      <protection locked="true" hidden="false"/>
    </xf>
    <xf numFmtId="165" fontId="4" fillId="16" borderId="1" xfId="0" applyFont="true" applyBorder="true" applyAlignment="true" applyProtection="false">
      <alignment horizontal="general" vertical="bottom" textRotation="0" wrapText="false" indent="0" shrinkToFit="false"/>
      <protection locked="true" hidden="false"/>
    </xf>
    <xf numFmtId="165" fontId="4" fillId="17" borderId="1" xfId="0" applyFont="true" applyBorder="true" applyAlignment="true" applyProtection="false">
      <alignment horizontal="general" vertical="bottom" textRotation="0" wrapText="false" indent="0" shrinkToFit="false"/>
      <protection locked="true" hidden="false"/>
    </xf>
    <xf numFmtId="164" fontId="4" fillId="18" borderId="0" xfId="0" applyFont="true" applyBorder="true" applyAlignment="false" applyProtection="false">
      <alignment horizontal="general" vertical="bottom" textRotation="0" wrapText="false" indent="0" shrinkToFit="false"/>
      <protection locked="true" hidden="false"/>
    </xf>
    <xf numFmtId="165" fontId="4" fillId="2" borderId="0" xfId="0" applyFont="true" applyBorder="false" applyAlignment="false" applyProtection="false">
      <alignment horizontal="general" vertical="bottom" textRotation="0" wrapText="false" indent="0" shrinkToFit="false"/>
      <protection locked="true" hidden="false"/>
    </xf>
    <xf numFmtId="165" fontId="4" fillId="19" borderId="1" xfId="0" applyFont="true" applyBorder="true" applyAlignment="true" applyProtection="false">
      <alignment horizontal="general" vertical="bottom" textRotation="0" wrapText="false" indent="0" shrinkToFit="false"/>
      <protection locked="true" hidden="false"/>
    </xf>
    <xf numFmtId="164" fontId="4" fillId="19" borderId="1" xfId="0" applyFont="true" applyBorder="true" applyAlignment="false" applyProtection="false">
      <alignment horizontal="general" vertical="bottom" textRotation="0" wrapText="false" indent="0" shrinkToFit="false"/>
      <protection locked="true" hidden="false"/>
    </xf>
    <xf numFmtId="165" fontId="4" fillId="4" borderId="0" xfId="0" applyFont="true" applyBorder="false" applyAlignment="false" applyProtection="false">
      <alignment horizontal="general" vertical="bottom" textRotation="0" wrapText="false" indent="0" shrinkToFit="false"/>
      <protection locked="true" hidden="false"/>
    </xf>
    <xf numFmtId="165" fontId="8" fillId="20" borderId="1" xfId="0" applyFont="true" applyBorder="true" applyAlignment="true" applyProtection="false">
      <alignment horizontal="center" vertical="bottom" textRotation="0" wrapText="false" indent="0" shrinkToFit="false"/>
      <protection locked="true" hidden="false"/>
    </xf>
    <xf numFmtId="165" fontId="8" fillId="21" borderId="1" xfId="0" applyFont="true" applyBorder="true" applyAlignment="true" applyProtection="false">
      <alignment horizontal="center" vertical="bottom" textRotation="0" wrapText="false" indent="0" shrinkToFit="false"/>
      <protection locked="true" hidden="false"/>
    </xf>
    <xf numFmtId="165" fontId="8" fillId="22" borderId="1" xfId="0" applyFont="true" applyBorder="true" applyAlignment="true" applyProtection="false">
      <alignment horizontal="center" vertical="bottom" textRotation="0" wrapText="false" indent="0" shrinkToFit="false"/>
      <protection locked="true" hidden="false"/>
    </xf>
    <xf numFmtId="165" fontId="8" fillId="23" borderId="1" xfId="0" applyFont="true" applyBorder="true" applyAlignment="true" applyProtection="false">
      <alignment horizontal="center" vertical="bottom" textRotation="0" wrapText="false" indent="0" shrinkToFit="false"/>
      <protection locked="true" hidden="false"/>
    </xf>
    <xf numFmtId="165" fontId="8" fillId="24" borderId="1" xfId="0" applyFont="true" applyBorder="true" applyAlignment="true" applyProtection="false">
      <alignment horizontal="center" vertical="bottom" textRotation="0" wrapText="false" indent="0" shrinkToFit="false"/>
      <protection locked="true" hidden="false"/>
    </xf>
    <xf numFmtId="165" fontId="8" fillId="12" borderId="1" xfId="0" applyFont="true" applyBorder="true" applyAlignment="true" applyProtection="false">
      <alignment horizontal="center" vertical="bottom" textRotation="0" wrapText="false" indent="0" shrinkToFit="false"/>
      <protection locked="true" hidden="false"/>
    </xf>
    <xf numFmtId="165" fontId="4" fillId="25" borderId="1" xfId="0" applyFont="true" applyBorder="true" applyAlignment="true" applyProtection="false">
      <alignment horizontal="right" vertical="bottom" textRotation="0" wrapText="false" indent="0" shrinkToFit="false"/>
      <protection locked="true" hidden="false"/>
    </xf>
    <xf numFmtId="165" fontId="4" fillId="26" borderId="1" xfId="0" applyFont="true" applyBorder="true" applyAlignment="true" applyProtection="false">
      <alignment horizontal="general" vertical="bottom" textRotation="0" wrapText="false" indent="0" shrinkToFit="false"/>
      <protection locked="true" hidden="false"/>
    </xf>
    <xf numFmtId="165" fontId="4" fillId="27" borderId="1" xfId="0" applyFont="true" applyBorder="true" applyAlignment="true" applyProtection="false">
      <alignment horizontal="general" vertical="bottom" textRotation="0" wrapText="false" indent="0" shrinkToFit="false"/>
      <protection locked="true" hidden="false"/>
    </xf>
    <xf numFmtId="165" fontId="4" fillId="28" borderId="1" xfId="0" applyFont="true" applyBorder="true" applyAlignment="true" applyProtection="false">
      <alignment horizontal="general" vertical="bottom" textRotation="0" wrapText="false" indent="0" shrinkToFit="false"/>
      <protection locked="true" hidden="false"/>
    </xf>
    <xf numFmtId="165" fontId="4" fillId="29" borderId="1" xfId="0" applyFont="true" applyBorder="true" applyAlignment="true" applyProtection="false">
      <alignment horizontal="general" vertical="bottom" textRotation="0" wrapText="false" indent="0" shrinkToFit="false"/>
      <protection locked="true" hidden="false"/>
    </xf>
    <xf numFmtId="165" fontId="4" fillId="30" borderId="1" xfId="0" applyFont="true" applyBorder="true" applyAlignment="true" applyProtection="false">
      <alignment horizontal="general" vertical="bottom" textRotation="0" wrapText="false" indent="0" shrinkToFit="false"/>
      <protection locked="true" hidden="false"/>
    </xf>
    <xf numFmtId="165" fontId="4" fillId="31" borderId="1" xfId="0" applyFont="true" applyBorder="true" applyAlignment="true" applyProtection="false">
      <alignment horizontal="general" vertical="bottom" textRotation="0" wrapText="false" indent="0" shrinkToFit="false"/>
      <protection locked="true" hidden="false"/>
    </xf>
    <xf numFmtId="165" fontId="4" fillId="4" borderId="1" xfId="0" applyFont="true" applyBorder="true" applyAlignment="true" applyProtection="false">
      <alignment horizontal="right" vertical="bottom" textRotation="0" wrapText="false" indent="0" shrinkToFit="false"/>
      <protection locked="true" hidden="false"/>
    </xf>
    <xf numFmtId="165" fontId="7" fillId="32" borderId="0" xfId="0" applyFont="true" applyBorder="true" applyAlignment="true" applyProtection="false">
      <alignment horizontal="general" vertical="center" textRotation="0" wrapText="true" indent="0" shrinkToFit="false"/>
      <protection locked="true" hidden="false"/>
    </xf>
    <xf numFmtId="165" fontId="7" fillId="33" borderId="0" xfId="0" applyFont="true" applyBorder="false" applyAlignment="true" applyProtection="false">
      <alignment horizontal="center" vertical="center"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666666"/>
          <bgColor rgb="FF000000"/>
        </patternFill>
      </fill>
    </dxf>
    <dxf>
      <fill>
        <patternFill patternType="solid">
          <bgColor rgb="FF000000"/>
        </patternFill>
      </fill>
    </dxf>
    <dxf>
      <fill>
        <patternFill patternType="solid">
          <fgColor rgb="FF000000"/>
          <bgColor rgb="FF000000"/>
        </patternFill>
      </fill>
    </dxf>
    <dxf>
      <font>
        <name val="Arial"/>
        <family val="0"/>
        <color rgb="FFE06666"/>
      </font>
      <fill>
        <patternFill>
          <bgColor rgb="FFE06666"/>
        </patternFill>
      </fill>
    </dxf>
    <dxf>
      <font>
        <name val="Arial"/>
        <family val="0"/>
        <color rgb="FF6FA8DC"/>
      </font>
      <fill>
        <patternFill>
          <bgColor rgb="FF6FA8DC"/>
        </patternFill>
      </fill>
    </dxf>
    <dxf>
      <font>
        <name val="gallant12x22"/>
        <family val="0"/>
        <b val="1"/>
        <i val="0"/>
        <strike val="0"/>
        <outline val="0"/>
        <shadow val="0"/>
        <color rgb="FFAFD095"/>
        <sz val="11"/>
        <u val="none"/>
      </font>
      <numFmt numFmtId="164" formatCode="0"/>
      <fill>
        <patternFill>
          <bgColor rgb="FFAFD095"/>
        </patternFill>
      </fill>
      <border diagonalUp="false" diagonalDown="false">
        <left/>
        <right/>
        <top/>
        <bottom/>
        <diagonal/>
      </border>
    </dxf>
  </dxfs>
  <colors>
    <indexedColors>
      <rgbColor rgb="FF000000"/>
      <rgbColor rgb="FFFFFFFF"/>
      <rgbColor rgb="FFCC0000"/>
      <rgbColor rgb="FF71C287"/>
      <rgbColor rgb="FF78C0CD"/>
      <rgbColor rgb="FFCEA83F"/>
      <rgbColor rgb="FFE06666"/>
      <rgbColor rgb="FF60F3D9"/>
      <rgbColor rgb="FFEA4335"/>
      <rgbColor rgb="FF8779AB"/>
      <rgbColor rgb="FF86CCBF"/>
      <rgbColor rgb="FF666666"/>
      <rgbColor rgb="FFA16B7A"/>
      <rgbColor rgb="FF6B85D7"/>
      <rgbColor rgb="FFB7B7B7"/>
      <rgbColor rgb="FF8B8B8B"/>
      <rgbColor rgb="FF7BAAF7"/>
      <rgbColor rgb="FF9C3D62"/>
      <rgbColor rgb="FFF3F3F3"/>
      <rgbColor rgb="FFCFE2F3"/>
      <rgbColor rgb="FFB2BB83"/>
      <rgbColor rgb="FFF07B72"/>
      <rgbColor rgb="FF4285F4"/>
      <rgbColor rgb="FFCCCCCC"/>
      <rgbColor rgb="FFAFD095"/>
      <rgbColor rgb="FF9FCBA1"/>
      <rgbColor rgb="FFB6D7A8"/>
      <rgbColor rgb="FF52B0EF"/>
      <rgbColor rgb="FFAE756A"/>
      <rgbColor rgb="FFC97A2E"/>
      <rgbColor rgb="FF6AA84F"/>
      <rgbColor rgb="FF97F3AA"/>
      <rgbColor rgb="FF39D9F4"/>
      <rgbColor rgb="FFD9D9D9"/>
      <rgbColor rgb="FFDDDDDD"/>
      <rgbColor rgb="FFBFD36F"/>
      <rgbColor rgb="FF7ED1D7"/>
      <rgbColor rgb="FFB88D66"/>
      <rgbColor rgb="FFB9A66E"/>
      <rgbColor rgb="FFFCD04F"/>
      <rgbColor rgb="FF3C78D8"/>
      <rgbColor rgb="FF46BDC6"/>
      <rgbColor rgb="FF93C47D"/>
      <rgbColor rgb="FFFBBC04"/>
      <rgbColor rgb="FFFF994D"/>
      <rgbColor rgb="FFFF6D01"/>
      <rgbColor rgb="FF7D5EB0"/>
      <rgbColor rgb="FF808EBE"/>
      <rgbColor rgb="FF6D9EEB"/>
      <rgbColor rgb="FF34A853"/>
      <rgbColor rgb="FF6FA8DC"/>
      <rgbColor rgb="FF1A1A1A"/>
      <rgbColor rgb="FFB65442"/>
      <rgbColor rgb="FF8A4186"/>
      <rgbColor rgb="FF926D9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'Planting Maths'!$G$16</c:f>
              <c:strCache>
                <c:ptCount val="1"/>
                <c:pt idx="0">
                  <c:v>4</c:v>
                </c:pt>
              </c:strCache>
            </c:strRef>
          </c:tx>
          <c:spPr>
            <a:solidFill>
              <a:srgbClr val="4285F4"/>
            </a:solidFill>
            <a:ln w="19080">
              <a:solidFill>
                <a:srgbClr val="4285F4"/>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'Planting Maths'!$G$17:$G$124</c:f>
              <c:numCache>
                <c:formatCode>General</c:formatCode>
                <c:ptCount val="108"/>
                <c:pt idx="0">
                  <c:v>-16.9698879315256</c:v>
                </c:pt>
                <c:pt idx="1">
                  <c:v>-17.0199486362527</c:v>
                </c:pt>
                <c:pt idx="2">
                  <c:v>-17.0433211420547</c:v>
                </c:pt>
                <c:pt idx="3">
                  <c:v>-17.0497455745208</c:v>
                </c:pt>
                <c:pt idx="4">
                  <c:v>-17.0497455745208</c:v>
                </c:pt>
                <c:pt idx="5">
                  <c:v>-17.0433211420547</c:v>
                </c:pt>
                <c:pt idx="6">
                  <c:v>-17.0199486362527</c:v>
                </c:pt>
                <c:pt idx="7">
                  <c:v>-16.9698879315256</c:v>
                </c:pt>
                <c:pt idx="8">
                  <c:v>-16.8846474729938</c:v>
                </c:pt>
                <c:pt idx="9">
                  <c:v>-16.7569333144182</c:v>
                </c:pt>
                <c:pt idx="10">
                  <c:v>-16.5805981561299</c:v>
                </c:pt>
                <c:pt idx="11">
                  <c:v>-16.3505903829605</c:v>
                </c:pt>
                <c:pt idx="12">
                  <c:v>-16.0629031021726</c:v>
                </c:pt>
                <c:pt idx="13">
                  <c:v>-15.7145231813895</c:v>
                </c:pt>
                <c:pt idx="14">
                  <c:v>-15.3033802865258</c:v>
                </c:pt>
                <c:pt idx="15">
                  <c:v>-14.8282959197176</c:v>
                </c:pt>
                <c:pt idx="16">
                  <c:v>-14.2889324572526</c:v>
                </c:pt>
                <c:pt idx="17">
                  <c:v>-13.6857421875</c:v>
                </c:pt>
                <c:pt idx="18">
                  <c:v>-13.0199163488414</c:v>
                </c:pt>
                <c:pt idx="19">
                  <c:v>-12.2933341676004</c:v>
                </c:pt>
                <c:pt idx="20">
                  <c:v>-11.5085118959731</c:v>
                </c:pt>
                <c:pt idx="21">
                  <c:v>-10.6685518499581</c:v>
                </c:pt>
                <c:pt idx="22">
                  <c:v>-9.77709144728705</c:v>
                </c:pt>
                <c:pt idx="23">
                  <c:v>-8.8382522453545</c:v>
                </c:pt>
                <c:pt idx="24">
                  <c:v>-7.85658897914828</c:v>
                </c:pt>
                <c:pt idx="25">
                  <c:v>-6.83703859917964</c:v>
                </c:pt>
                <c:pt idx="26">
                  <c:v>-5.78486930941357</c:v>
                </c:pt>
                <c:pt idx="27">
                  <c:v>-4.70562960519888</c:v>
                </c:pt>
                <c:pt idx="28">
                  <c:v>-3.60509731119839</c:v>
                </c:pt>
                <c:pt idx="29">
                  <c:v>-2.48922861931935</c:v>
                </c:pt>
                <c:pt idx="30">
                  <c:v>-1.36410712664332</c:v>
                </c:pt>
                <c:pt idx="31">
                  <c:v>-0.235892873356678</c:v>
                </c:pt>
                <c:pt idx="32">
                  <c:v>0.889228619319344</c:v>
                </c:pt>
                <c:pt idx="33">
                  <c:v>2.00509731119839</c:v>
                </c:pt>
                <c:pt idx="34">
                  <c:v>3.10562960519888</c:v>
                </c:pt>
                <c:pt idx="35">
                  <c:v>4.1848693094136</c:v>
                </c:pt>
                <c:pt idx="36">
                  <c:v>5.23703859917967</c:v>
                </c:pt>
                <c:pt idx="37">
                  <c:v>6.25658897914825</c:v>
                </c:pt>
                <c:pt idx="38">
                  <c:v>7.2382522453545</c:v>
                </c:pt>
                <c:pt idx="39">
                  <c:v>8.17709144728705</c:v>
                </c:pt>
                <c:pt idx="40">
                  <c:v>9.0685518499581</c:v>
                </c:pt>
                <c:pt idx="41">
                  <c:v>9.90851189597306</c:v>
                </c:pt>
                <c:pt idx="42">
                  <c:v>10.6933341676004</c:v>
                </c:pt>
                <c:pt idx="43">
                  <c:v>11.4199163488414</c:v>
                </c:pt>
                <c:pt idx="44">
                  <c:v>12.0857421875</c:v>
                </c:pt>
                <c:pt idx="45">
                  <c:v>12.6889324572526</c:v>
                </c:pt>
                <c:pt idx="46">
                  <c:v>13.2282959197176</c:v>
                </c:pt>
                <c:pt idx="47">
                  <c:v>13.7033802865258</c:v>
                </c:pt>
                <c:pt idx="48">
                  <c:v>14.1145231813895</c:v>
                </c:pt>
                <c:pt idx="49">
                  <c:v>14.4629031021726</c:v>
                </c:pt>
                <c:pt idx="50">
                  <c:v>14.7505903829606</c:v>
                </c:pt>
                <c:pt idx="51">
                  <c:v>14.9805981561299</c:v>
                </c:pt>
                <c:pt idx="52">
                  <c:v>15.1569333144183</c:v>
                </c:pt>
                <c:pt idx="53">
                  <c:v>15.2846474729938</c:v>
                </c:pt>
                <c:pt idx="54">
                  <c:v>15.3698879315256</c:v>
                </c:pt>
                <c:pt idx="55">
                  <c:v>15.4199486362528</c:v>
                </c:pt>
                <c:pt idx="56">
                  <c:v>15.4433211420547</c:v>
                </c:pt>
                <c:pt idx="57">
                  <c:v>15.4497455745209</c:v>
                </c:pt>
                <c:pt idx="58">
                  <c:v>15.4497455745209</c:v>
                </c:pt>
                <c:pt idx="59">
                  <c:v>15.4433211420547</c:v>
                </c:pt>
                <c:pt idx="60">
                  <c:v>15.4199486362527</c:v>
                </c:pt>
                <c:pt idx="61">
                  <c:v>15.3698879315255</c:v>
                </c:pt>
                <c:pt idx="62">
                  <c:v>15.2846474729938</c:v>
                </c:pt>
                <c:pt idx="63">
                  <c:v>15.1569333144183</c:v>
                </c:pt>
                <c:pt idx="64">
                  <c:v>14.9805981561299</c:v>
                </c:pt>
                <c:pt idx="65">
                  <c:v>14.7505903829606</c:v>
                </c:pt>
                <c:pt idx="66">
                  <c:v>14.4629031021726</c:v>
                </c:pt>
                <c:pt idx="67">
                  <c:v>14.1145231813895</c:v>
                </c:pt>
                <c:pt idx="68">
                  <c:v>13.7033802865258</c:v>
                </c:pt>
                <c:pt idx="69">
                  <c:v>13.2282959197176</c:v>
                </c:pt>
                <c:pt idx="70">
                  <c:v>12.6889324572526</c:v>
                </c:pt>
                <c:pt idx="71">
                  <c:v>12.0857421875</c:v>
                </c:pt>
                <c:pt idx="72">
                  <c:v>11.4199163488414</c:v>
                </c:pt>
                <c:pt idx="73">
                  <c:v>10.6933341676004</c:v>
                </c:pt>
                <c:pt idx="74">
                  <c:v>9.90851189597306</c:v>
                </c:pt>
                <c:pt idx="75">
                  <c:v>9.0685518499581</c:v>
                </c:pt>
                <c:pt idx="76">
                  <c:v>8.17709144728705</c:v>
                </c:pt>
                <c:pt idx="77">
                  <c:v>7.2382522453545</c:v>
                </c:pt>
                <c:pt idx="78">
                  <c:v>6.25658897914825</c:v>
                </c:pt>
                <c:pt idx="79">
                  <c:v>5.23703859917964</c:v>
                </c:pt>
                <c:pt idx="80">
                  <c:v>4.1848693094136</c:v>
                </c:pt>
                <c:pt idx="81">
                  <c:v>3.10562960519888</c:v>
                </c:pt>
                <c:pt idx="82">
                  <c:v>2.00509731119842</c:v>
                </c:pt>
                <c:pt idx="83">
                  <c:v>0.889228619319344</c:v>
                </c:pt>
                <c:pt idx="84">
                  <c:v>-0.235892873356678</c:v>
                </c:pt>
                <c:pt idx="85">
                  <c:v>-1.36410712664332</c:v>
                </c:pt>
                <c:pt idx="86">
                  <c:v>-2.48922861931935</c:v>
                </c:pt>
                <c:pt idx="87">
                  <c:v>-3.60509731119839</c:v>
                </c:pt>
                <c:pt idx="88">
                  <c:v>-4.70562960519888</c:v>
                </c:pt>
                <c:pt idx="89">
                  <c:v>-5.78486930941357</c:v>
                </c:pt>
                <c:pt idx="90">
                  <c:v>-6.83703859917964</c:v>
                </c:pt>
                <c:pt idx="91">
                  <c:v>-7.85658897914825</c:v>
                </c:pt>
                <c:pt idx="92">
                  <c:v>-8.8382522453545</c:v>
                </c:pt>
                <c:pt idx="93">
                  <c:v>-9.77709144728705</c:v>
                </c:pt>
                <c:pt idx="94">
                  <c:v>-10.6685518499581</c:v>
                </c:pt>
                <c:pt idx="95">
                  <c:v>-11.508511895973</c:v>
                </c:pt>
                <c:pt idx="96">
                  <c:v>-12.2933341676004</c:v>
                </c:pt>
                <c:pt idx="97">
                  <c:v>-13.0199163488414</c:v>
                </c:pt>
                <c:pt idx="98">
                  <c:v>-13.6857421875</c:v>
                </c:pt>
                <c:pt idx="99">
                  <c:v>-14.2889324572526</c:v>
                </c:pt>
                <c:pt idx="100">
                  <c:v>-14.8282959197176</c:v>
                </c:pt>
                <c:pt idx="101">
                  <c:v>-15.3033802865258</c:v>
                </c:pt>
                <c:pt idx="102">
                  <c:v>-15.7145231813895</c:v>
                </c:pt>
                <c:pt idx="103">
                  <c:v>-16.0629031021726</c:v>
                </c:pt>
                <c:pt idx="104">
                  <c:v>-16.3505903829605</c:v>
                </c:pt>
                <c:pt idx="105">
                  <c:v>-16.5805981561299</c:v>
                </c:pt>
                <c:pt idx="106">
                  <c:v>-16.7569333144182</c:v>
                </c:pt>
                <c:pt idx="107">
                  <c:v>-16.8846474729938</c:v>
                </c:pt>
              </c:numCache>
            </c:numRef>
          </c:val>
          <c:smooth val="0"/>
        </c:ser>
        <c:ser>
          <c:idx val="1"/>
          <c:order val="1"/>
          <c:tx>
            <c:strRef>
              <c:f>'Planting Maths'!$H$16</c:f>
              <c:strCache>
                <c:ptCount val="1"/>
                <c:pt idx="0">
                  <c:v>16</c:v>
                </c:pt>
              </c:strCache>
            </c:strRef>
          </c:tx>
          <c:spPr>
            <a:solidFill>
              <a:srgbClr val="EA4335"/>
            </a:solidFill>
            <a:ln w="19080">
              <a:solidFill>
                <a:srgbClr val="EA4335"/>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'Planting Maths'!$H$17:$H$124</c:f>
              <c:numCache>
                <c:formatCode>General</c:formatCode>
                <c:ptCount val="108"/>
                <c:pt idx="0">
                  <c:v>-9.36988793152557</c:v>
                </c:pt>
                <c:pt idx="1">
                  <c:v>-9.41994863625273</c:v>
                </c:pt>
                <c:pt idx="2">
                  <c:v>-9.44332114205469</c:v>
                </c:pt>
                <c:pt idx="3">
                  <c:v>-9.44974557452083</c:v>
                </c:pt>
                <c:pt idx="4">
                  <c:v>-9.44974557452083</c:v>
                </c:pt>
                <c:pt idx="5">
                  <c:v>-9.44332114205469</c:v>
                </c:pt>
                <c:pt idx="6">
                  <c:v>-9.41994863625273</c:v>
                </c:pt>
                <c:pt idx="7">
                  <c:v>-9.36988793152557</c:v>
                </c:pt>
                <c:pt idx="8">
                  <c:v>-9.28464747299383</c:v>
                </c:pt>
                <c:pt idx="9">
                  <c:v>-9.15693331441824</c:v>
                </c:pt>
                <c:pt idx="10">
                  <c:v>-8.98059815612992</c:v>
                </c:pt>
                <c:pt idx="11">
                  <c:v>-8.75059038296055</c:v>
                </c:pt>
                <c:pt idx="12">
                  <c:v>-8.46290310217259</c:v>
                </c:pt>
                <c:pt idx="13">
                  <c:v>-8.11452318138947</c:v>
                </c:pt>
                <c:pt idx="14">
                  <c:v>-7.70338028652581</c:v>
                </c:pt>
                <c:pt idx="15">
                  <c:v>-7.22829591971764</c:v>
                </c:pt>
                <c:pt idx="16">
                  <c:v>-6.68893245725256</c:v>
                </c:pt>
                <c:pt idx="17">
                  <c:v>-6.0857421875</c:v>
                </c:pt>
                <c:pt idx="18">
                  <c:v>-5.4199163488414</c:v>
                </c:pt>
                <c:pt idx="19">
                  <c:v>-4.69333416760038</c:v>
                </c:pt>
                <c:pt idx="20">
                  <c:v>-3.90851189597306</c:v>
                </c:pt>
                <c:pt idx="21">
                  <c:v>-3.0685518499581</c:v>
                </c:pt>
                <c:pt idx="22">
                  <c:v>-2.17709144728705</c:v>
                </c:pt>
                <c:pt idx="23">
                  <c:v>-1.2382522453545</c:v>
                </c:pt>
                <c:pt idx="24">
                  <c:v>-0.256588979148281</c:v>
                </c:pt>
                <c:pt idx="25">
                  <c:v>0.76296140082036</c:v>
                </c:pt>
                <c:pt idx="26">
                  <c:v>1.81513069058644</c:v>
                </c:pt>
                <c:pt idx="27">
                  <c:v>2.89437039480112</c:v>
                </c:pt>
                <c:pt idx="28">
                  <c:v>3.99490268880161</c:v>
                </c:pt>
                <c:pt idx="29">
                  <c:v>5.11077138068065</c:v>
                </c:pt>
                <c:pt idx="30">
                  <c:v>6.23589287335668</c:v>
                </c:pt>
                <c:pt idx="31">
                  <c:v>7.36410712664332</c:v>
                </c:pt>
                <c:pt idx="32">
                  <c:v>8.48922861931935</c:v>
                </c:pt>
                <c:pt idx="33">
                  <c:v>9.60509731119839</c:v>
                </c:pt>
                <c:pt idx="34">
                  <c:v>10.7056296051989</c:v>
                </c:pt>
                <c:pt idx="35">
                  <c:v>11.7848693094136</c:v>
                </c:pt>
                <c:pt idx="36">
                  <c:v>12.8370385991797</c:v>
                </c:pt>
                <c:pt idx="37">
                  <c:v>13.8565889791482</c:v>
                </c:pt>
                <c:pt idx="38">
                  <c:v>14.8382522453545</c:v>
                </c:pt>
                <c:pt idx="39">
                  <c:v>15.777091447287</c:v>
                </c:pt>
                <c:pt idx="40">
                  <c:v>16.6685518499581</c:v>
                </c:pt>
                <c:pt idx="41">
                  <c:v>17.5085118959731</c:v>
                </c:pt>
                <c:pt idx="42">
                  <c:v>18.2933341676004</c:v>
                </c:pt>
                <c:pt idx="43">
                  <c:v>19.0199163488414</c:v>
                </c:pt>
                <c:pt idx="44">
                  <c:v>19.6857421875</c:v>
                </c:pt>
                <c:pt idx="45">
                  <c:v>20.2889324572526</c:v>
                </c:pt>
                <c:pt idx="46">
                  <c:v>20.8282959197176</c:v>
                </c:pt>
                <c:pt idx="47">
                  <c:v>21.3033802865258</c:v>
                </c:pt>
                <c:pt idx="48">
                  <c:v>21.7145231813895</c:v>
                </c:pt>
                <c:pt idx="49">
                  <c:v>22.0629031021726</c:v>
                </c:pt>
                <c:pt idx="50">
                  <c:v>22.3505903829606</c:v>
                </c:pt>
                <c:pt idx="51">
                  <c:v>22.5805981561299</c:v>
                </c:pt>
                <c:pt idx="52">
                  <c:v>22.7569333144183</c:v>
                </c:pt>
                <c:pt idx="53">
                  <c:v>22.8846474729938</c:v>
                </c:pt>
                <c:pt idx="54">
                  <c:v>22.9698879315256</c:v>
                </c:pt>
                <c:pt idx="55">
                  <c:v>23.0199486362528</c:v>
                </c:pt>
                <c:pt idx="56">
                  <c:v>23.0433211420547</c:v>
                </c:pt>
                <c:pt idx="57">
                  <c:v>23.0497455745209</c:v>
                </c:pt>
                <c:pt idx="58">
                  <c:v>23.0497455745209</c:v>
                </c:pt>
                <c:pt idx="59">
                  <c:v>23.0433211420547</c:v>
                </c:pt>
                <c:pt idx="60">
                  <c:v>23.0199486362527</c:v>
                </c:pt>
                <c:pt idx="61">
                  <c:v>22.9698879315255</c:v>
                </c:pt>
                <c:pt idx="62">
                  <c:v>22.8846474729938</c:v>
                </c:pt>
                <c:pt idx="63">
                  <c:v>22.7569333144183</c:v>
                </c:pt>
                <c:pt idx="64">
                  <c:v>22.5805981561299</c:v>
                </c:pt>
                <c:pt idx="65">
                  <c:v>22.3505903829606</c:v>
                </c:pt>
                <c:pt idx="66">
                  <c:v>22.0629031021726</c:v>
                </c:pt>
                <c:pt idx="67">
                  <c:v>21.7145231813895</c:v>
                </c:pt>
                <c:pt idx="68">
                  <c:v>21.3033802865258</c:v>
                </c:pt>
                <c:pt idx="69">
                  <c:v>20.8282959197176</c:v>
                </c:pt>
                <c:pt idx="70">
                  <c:v>20.2889324572526</c:v>
                </c:pt>
                <c:pt idx="71">
                  <c:v>19.6857421875</c:v>
                </c:pt>
                <c:pt idx="72">
                  <c:v>19.0199163488414</c:v>
                </c:pt>
                <c:pt idx="73">
                  <c:v>18.2933341676004</c:v>
                </c:pt>
                <c:pt idx="74">
                  <c:v>17.5085118959731</c:v>
                </c:pt>
                <c:pt idx="75">
                  <c:v>16.6685518499581</c:v>
                </c:pt>
                <c:pt idx="76">
                  <c:v>15.777091447287</c:v>
                </c:pt>
                <c:pt idx="77">
                  <c:v>14.8382522453545</c:v>
                </c:pt>
                <c:pt idx="78">
                  <c:v>13.8565889791482</c:v>
                </c:pt>
                <c:pt idx="79">
                  <c:v>12.8370385991796</c:v>
                </c:pt>
                <c:pt idx="80">
                  <c:v>11.7848693094136</c:v>
                </c:pt>
                <c:pt idx="81">
                  <c:v>10.7056296051989</c:v>
                </c:pt>
                <c:pt idx="82">
                  <c:v>9.60509731119842</c:v>
                </c:pt>
                <c:pt idx="83">
                  <c:v>8.48922861931935</c:v>
                </c:pt>
                <c:pt idx="84">
                  <c:v>7.36410712664332</c:v>
                </c:pt>
                <c:pt idx="85">
                  <c:v>6.23589287335668</c:v>
                </c:pt>
                <c:pt idx="86">
                  <c:v>5.11077138068065</c:v>
                </c:pt>
                <c:pt idx="87">
                  <c:v>3.99490268880161</c:v>
                </c:pt>
                <c:pt idx="88">
                  <c:v>2.89437039480112</c:v>
                </c:pt>
                <c:pt idx="89">
                  <c:v>1.81513069058644</c:v>
                </c:pt>
                <c:pt idx="90">
                  <c:v>0.76296140082036</c:v>
                </c:pt>
                <c:pt idx="91">
                  <c:v>-0.256588979148249</c:v>
                </c:pt>
                <c:pt idx="92">
                  <c:v>-1.2382522453545</c:v>
                </c:pt>
                <c:pt idx="93">
                  <c:v>-2.17709144728705</c:v>
                </c:pt>
                <c:pt idx="94">
                  <c:v>-3.0685518499581</c:v>
                </c:pt>
                <c:pt idx="95">
                  <c:v>-3.90851189597303</c:v>
                </c:pt>
                <c:pt idx="96">
                  <c:v>-4.69333416760038</c:v>
                </c:pt>
                <c:pt idx="97">
                  <c:v>-5.4199163488414</c:v>
                </c:pt>
                <c:pt idx="98">
                  <c:v>-6.0857421875</c:v>
                </c:pt>
                <c:pt idx="99">
                  <c:v>-6.68893245725256</c:v>
                </c:pt>
                <c:pt idx="100">
                  <c:v>-7.22829591971764</c:v>
                </c:pt>
                <c:pt idx="101">
                  <c:v>-7.7033802865258</c:v>
                </c:pt>
                <c:pt idx="102">
                  <c:v>-8.11452318138947</c:v>
                </c:pt>
                <c:pt idx="103">
                  <c:v>-8.46290310217259</c:v>
                </c:pt>
                <c:pt idx="104">
                  <c:v>-8.75059038296055</c:v>
                </c:pt>
                <c:pt idx="105">
                  <c:v>-8.98059815612992</c:v>
                </c:pt>
                <c:pt idx="106">
                  <c:v>-9.15693331441824</c:v>
                </c:pt>
                <c:pt idx="107">
                  <c:v>-9.28464747299383</c:v>
                </c:pt>
              </c:numCache>
            </c:numRef>
          </c:val>
          <c:smooth val="0"/>
        </c:ser>
        <c:hiLowLines>
          <c:spPr>
            <a:ln w="0">
              <a:noFill/>
            </a:ln>
          </c:spPr>
        </c:hiLowLines>
        <c:marker val="0"/>
        <c:axId val="9481657"/>
        <c:axId val="65538745"/>
      </c:lineChart>
      <c:catAx>
        <c:axId val="9481657"/>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u="none" strike="noStrike">
                <a:solidFill>
                  <a:srgbClr val="000000"/>
                </a:solidFill>
                <a:uFillTx/>
                <a:latin typeface="Arial"/>
                <a:ea typeface="Arial"/>
              </a:defRPr>
            </a:pPr>
          </a:p>
        </c:txPr>
        <c:crossAx val="65538745"/>
        <c:crosses val="autoZero"/>
        <c:auto val="1"/>
        <c:lblAlgn val="ctr"/>
        <c:lblOffset val="100"/>
        <c:noMultiLvlLbl val="0"/>
      </c:catAx>
      <c:valAx>
        <c:axId val="65538745"/>
        <c:scaling>
          <c:orientation val="minMax"/>
        </c:scaling>
        <c:delete val="0"/>
        <c:axPos val="l"/>
        <c:majorGridlines>
          <c:spPr>
            <a:ln w="6480">
              <a:solidFill>
                <a:srgbClr val="B7B7B7"/>
              </a:solidFill>
              <a:round/>
            </a:ln>
          </c:spPr>
        </c:majorGridlines>
        <c:numFmt formatCode="General" sourceLinked="0"/>
        <c:majorTickMark val="none"/>
        <c:minorTickMark val="none"/>
        <c:tickLblPos val="nextTo"/>
        <c:spPr>
          <a:ln w="6480">
            <a:solidFill>
              <a:srgbClr val="8B8B8B"/>
            </a:solidFill>
            <a:round/>
          </a:ln>
        </c:spPr>
        <c:txPr>
          <a:bodyPr/>
          <a:lstStyle/>
          <a:p>
            <a:pPr>
              <a:defRPr sz="1000" b="0" u="none" strike="noStrike">
                <a:solidFill>
                  <a:srgbClr val="000000"/>
                </a:solidFill>
                <a:uFillTx/>
                <a:latin typeface="Arial"/>
                <a:ea typeface="Arial"/>
              </a:defRPr>
            </a:pPr>
          </a:p>
        </c:txPr>
        <c:crossAx val="9481657"/>
        <c:crosses val="autoZero"/>
        <c:crossBetween val="midCat"/>
      </c:valAx>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Arial"/>
              <a:ea typeface="Arial"/>
            </a:defRPr>
          </a:pPr>
        </a:p>
      </c:txPr>
    </c:legend>
    <c:plotVisOnly val="1"/>
    <c:dispBlanksAs val="zero"/>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"4 Estimate"</c:f>
              <c:strCache>
                <c:ptCount val="1"/>
                <c:pt idx="0">
                  <c:v>4 Estimate</c:v>
                </c:pt>
              </c:strCache>
            </c:strRef>
          </c:tx>
          <c:spPr>
            <a:solidFill>
              <a:srgbClr val="4285F4"/>
            </a:solidFill>
            <a:ln w="19080">
              <a:solidFill>
                <a:srgbClr val="4285F4"/>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'Planting Maths'!$G$17:$G$124</c:f>
              <c:numCache>
                <c:formatCode>General</c:formatCode>
                <c:ptCount val="108"/>
                <c:pt idx="0">
                  <c:v>-16.9698879315256</c:v>
                </c:pt>
                <c:pt idx="1">
                  <c:v>-17.0199486362527</c:v>
                </c:pt>
                <c:pt idx="2">
                  <c:v>-17.0433211420547</c:v>
                </c:pt>
                <c:pt idx="3">
                  <c:v>-17.0497455745208</c:v>
                </c:pt>
                <c:pt idx="4">
                  <c:v>-17.0497455745208</c:v>
                </c:pt>
                <c:pt idx="5">
                  <c:v>-17.0433211420547</c:v>
                </c:pt>
                <c:pt idx="6">
                  <c:v>-17.0199486362527</c:v>
                </c:pt>
                <c:pt idx="7">
                  <c:v>-16.9698879315256</c:v>
                </c:pt>
                <c:pt idx="8">
                  <c:v>-16.8846474729938</c:v>
                </c:pt>
                <c:pt idx="9">
                  <c:v>-16.7569333144182</c:v>
                </c:pt>
                <c:pt idx="10">
                  <c:v>-16.5805981561299</c:v>
                </c:pt>
                <c:pt idx="11">
                  <c:v>-16.3505903829605</c:v>
                </c:pt>
                <c:pt idx="12">
                  <c:v>-16.0629031021726</c:v>
                </c:pt>
                <c:pt idx="13">
                  <c:v>-15.7145231813895</c:v>
                </c:pt>
                <c:pt idx="14">
                  <c:v>-15.3033802865258</c:v>
                </c:pt>
                <c:pt idx="15">
                  <c:v>-14.8282959197176</c:v>
                </c:pt>
                <c:pt idx="16">
                  <c:v>-14.2889324572526</c:v>
                </c:pt>
                <c:pt idx="17">
                  <c:v>-13.6857421875</c:v>
                </c:pt>
                <c:pt idx="18">
                  <c:v>-13.0199163488414</c:v>
                </c:pt>
                <c:pt idx="19">
                  <c:v>-12.2933341676004</c:v>
                </c:pt>
                <c:pt idx="20">
                  <c:v>-11.5085118959731</c:v>
                </c:pt>
                <c:pt idx="21">
                  <c:v>-10.6685518499581</c:v>
                </c:pt>
                <c:pt idx="22">
                  <c:v>-9.77709144728705</c:v>
                </c:pt>
                <c:pt idx="23">
                  <c:v>-8.8382522453545</c:v>
                </c:pt>
                <c:pt idx="24">
                  <c:v>-7.85658897914828</c:v>
                </c:pt>
                <c:pt idx="25">
                  <c:v>-6.83703859917964</c:v>
                </c:pt>
                <c:pt idx="26">
                  <c:v>-5.78486930941357</c:v>
                </c:pt>
                <c:pt idx="27">
                  <c:v>-4.70562960519888</c:v>
                </c:pt>
                <c:pt idx="28">
                  <c:v>-3.60509731119839</c:v>
                </c:pt>
                <c:pt idx="29">
                  <c:v>-2.48922861931935</c:v>
                </c:pt>
                <c:pt idx="30">
                  <c:v>-1.36410712664332</c:v>
                </c:pt>
                <c:pt idx="31">
                  <c:v>-0.235892873356678</c:v>
                </c:pt>
                <c:pt idx="32">
                  <c:v>0.889228619319344</c:v>
                </c:pt>
                <c:pt idx="33">
                  <c:v>2.00509731119839</c:v>
                </c:pt>
                <c:pt idx="34">
                  <c:v>3.10562960519888</c:v>
                </c:pt>
                <c:pt idx="35">
                  <c:v>4.1848693094136</c:v>
                </c:pt>
                <c:pt idx="36">
                  <c:v>5.23703859917967</c:v>
                </c:pt>
                <c:pt idx="37">
                  <c:v>6.25658897914825</c:v>
                </c:pt>
                <c:pt idx="38">
                  <c:v>7.2382522453545</c:v>
                </c:pt>
                <c:pt idx="39">
                  <c:v>8.17709144728705</c:v>
                </c:pt>
                <c:pt idx="40">
                  <c:v>9.0685518499581</c:v>
                </c:pt>
                <c:pt idx="41">
                  <c:v>9.90851189597306</c:v>
                </c:pt>
                <c:pt idx="42">
                  <c:v>10.6933341676004</c:v>
                </c:pt>
                <c:pt idx="43">
                  <c:v>11.4199163488414</c:v>
                </c:pt>
                <c:pt idx="44">
                  <c:v>12.0857421875</c:v>
                </c:pt>
                <c:pt idx="45">
                  <c:v>12.6889324572526</c:v>
                </c:pt>
                <c:pt idx="46">
                  <c:v>13.2282959197176</c:v>
                </c:pt>
                <c:pt idx="47">
                  <c:v>13.7033802865258</c:v>
                </c:pt>
                <c:pt idx="48">
                  <c:v>14.1145231813895</c:v>
                </c:pt>
                <c:pt idx="49">
                  <c:v>14.4629031021726</c:v>
                </c:pt>
                <c:pt idx="50">
                  <c:v>14.7505903829606</c:v>
                </c:pt>
                <c:pt idx="51">
                  <c:v>14.9805981561299</c:v>
                </c:pt>
                <c:pt idx="52">
                  <c:v>15.1569333144183</c:v>
                </c:pt>
                <c:pt idx="53">
                  <c:v>15.2846474729938</c:v>
                </c:pt>
                <c:pt idx="54">
                  <c:v>15.3698879315256</c:v>
                </c:pt>
                <c:pt idx="55">
                  <c:v>15.4199486362528</c:v>
                </c:pt>
                <c:pt idx="56">
                  <c:v>15.4433211420547</c:v>
                </c:pt>
                <c:pt idx="57">
                  <c:v>15.4497455745209</c:v>
                </c:pt>
                <c:pt idx="58">
                  <c:v>15.4497455745209</c:v>
                </c:pt>
                <c:pt idx="59">
                  <c:v>15.4433211420547</c:v>
                </c:pt>
                <c:pt idx="60">
                  <c:v>15.4199486362527</c:v>
                </c:pt>
                <c:pt idx="61">
                  <c:v>15.3698879315255</c:v>
                </c:pt>
                <c:pt idx="62">
                  <c:v>15.2846474729938</c:v>
                </c:pt>
                <c:pt idx="63">
                  <c:v>15.1569333144183</c:v>
                </c:pt>
                <c:pt idx="64">
                  <c:v>14.9805981561299</c:v>
                </c:pt>
                <c:pt idx="65">
                  <c:v>14.7505903829606</c:v>
                </c:pt>
                <c:pt idx="66">
                  <c:v>14.4629031021726</c:v>
                </c:pt>
                <c:pt idx="67">
                  <c:v>14.1145231813895</c:v>
                </c:pt>
                <c:pt idx="68">
                  <c:v>13.7033802865258</c:v>
                </c:pt>
                <c:pt idx="69">
                  <c:v>13.2282959197176</c:v>
                </c:pt>
                <c:pt idx="70">
                  <c:v>12.6889324572526</c:v>
                </c:pt>
                <c:pt idx="71">
                  <c:v>12.0857421875</c:v>
                </c:pt>
                <c:pt idx="72">
                  <c:v>11.4199163488414</c:v>
                </c:pt>
                <c:pt idx="73">
                  <c:v>10.6933341676004</c:v>
                </c:pt>
                <c:pt idx="74">
                  <c:v>9.90851189597306</c:v>
                </c:pt>
                <c:pt idx="75">
                  <c:v>9.0685518499581</c:v>
                </c:pt>
                <c:pt idx="76">
                  <c:v>8.17709144728705</c:v>
                </c:pt>
                <c:pt idx="77">
                  <c:v>7.2382522453545</c:v>
                </c:pt>
                <c:pt idx="78">
                  <c:v>6.25658897914825</c:v>
                </c:pt>
                <c:pt idx="79">
                  <c:v>5.23703859917964</c:v>
                </c:pt>
                <c:pt idx="80">
                  <c:v>4.1848693094136</c:v>
                </c:pt>
                <c:pt idx="81">
                  <c:v>3.10562960519888</c:v>
                </c:pt>
                <c:pt idx="82">
                  <c:v>2.00509731119842</c:v>
                </c:pt>
                <c:pt idx="83">
                  <c:v>0.889228619319344</c:v>
                </c:pt>
                <c:pt idx="84">
                  <c:v>-0.235892873356678</c:v>
                </c:pt>
                <c:pt idx="85">
                  <c:v>-1.36410712664332</c:v>
                </c:pt>
                <c:pt idx="86">
                  <c:v>-2.48922861931935</c:v>
                </c:pt>
                <c:pt idx="87">
                  <c:v>-3.60509731119839</c:v>
                </c:pt>
                <c:pt idx="88">
                  <c:v>-4.70562960519888</c:v>
                </c:pt>
                <c:pt idx="89">
                  <c:v>-5.78486930941357</c:v>
                </c:pt>
                <c:pt idx="90">
                  <c:v>-6.83703859917964</c:v>
                </c:pt>
                <c:pt idx="91">
                  <c:v>-7.85658897914825</c:v>
                </c:pt>
                <c:pt idx="92">
                  <c:v>-8.8382522453545</c:v>
                </c:pt>
                <c:pt idx="93">
                  <c:v>-9.77709144728705</c:v>
                </c:pt>
                <c:pt idx="94">
                  <c:v>-10.6685518499581</c:v>
                </c:pt>
                <c:pt idx="95">
                  <c:v>-11.508511895973</c:v>
                </c:pt>
                <c:pt idx="96">
                  <c:v>-12.2933341676004</c:v>
                </c:pt>
                <c:pt idx="97">
                  <c:v>-13.0199163488414</c:v>
                </c:pt>
                <c:pt idx="98">
                  <c:v>-13.6857421875</c:v>
                </c:pt>
                <c:pt idx="99">
                  <c:v>-14.2889324572526</c:v>
                </c:pt>
                <c:pt idx="100">
                  <c:v>-14.8282959197176</c:v>
                </c:pt>
                <c:pt idx="101">
                  <c:v>-15.3033802865258</c:v>
                </c:pt>
                <c:pt idx="102">
                  <c:v>-15.7145231813895</c:v>
                </c:pt>
                <c:pt idx="103">
                  <c:v>-16.0629031021726</c:v>
                </c:pt>
                <c:pt idx="104">
                  <c:v>-16.3505903829605</c:v>
                </c:pt>
                <c:pt idx="105">
                  <c:v>-16.5805981561299</c:v>
                </c:pt>
                <c:pt idx="106">
                  <c:v>-16.7569333144182</c:v>
                </c:pt>
                <c:pt idx="107">
                  <c:v>-16.8846474729938</c:v>
                </c:pt>
              </c:numCache>
            </c:numRef>
          </c:val>
          <c:smooth val="0"/>
        </c:ser>
        <c:ser>
          <c:idx val="1"/>
          <c:order val="1"/>
          <c:tx>
            <c:strRef>
              <c:f>"16 Estmate"</c:f>
              <c:strCache>
                <c:ptCount val="1"/>
                <c:pt idx="0">
                  <c:v>16 Estmate</c:v>
                </c:pt>
              </c:strCache>
            </c:strRef>
          </c:tx>
          <c:spPr>
            <a:solidFill>
              <a:srgbClr val="EA4335"/>
            </a:solidFill>
            <a:ln w="19080">
              <a:solidFill>
                <a:srgbClr val="EA4335"/>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'Planting Maths'!$H$17:$H$124</c:f>
              <c:numCache>
                <c:formatCode>General</c:formatCode>
                <c:ptCount val="108"/>
                <c:pt idx="0">
                  <c:v>-9.36988793152557</c:v>
                </c:pt>
                <c:pt idx="1">
                  <c:v>-9.41994863625273</c:v>
                </c:pt>
                <c:pt idx="2">
                  <c:v>-9.44332114205469</c:v>
                </c:pt>
                <c:pt idx="3">
                  <c:v>-9.44974557452083</c:v>
                </c:pt>
                <c:pt idx="4">
                  <c:v>-9.44974557452083</c:v>
                </c:pt>
                <c:pt idx="5">
                  <c:v>-9.44332114205469</c:v>
                </c:pt>
                <c:pt idx="6">
                  <c:v>-9.41994863625273</c:v>
                </c:pt>
                <c:pt idx="7">
                  <c:v>-9.36988793152557</c:v>
                </c:pt>
                <c:pt idx="8">
                  <c:v>-9.28464747299383</c:v>
                </c:pt>
                <c:pt idx="9">
                  <c:v>-9.15693331441824</c:v>
                </c:pt>
                <c:pt idx="10">
                  <c:v>-8.98059815612992</c:v>
                </c:pt>
                <c:pt idx="11">
                  <c:v>-8.75059038296055</c:v>
                </c:pt>
                <c:pt idx="12">
                  <c:v>-8.46290310217259</c:v>
                </c:pt>
                <c:pt idx="13">
                  <c:v>-8.11452318138947</c:v>
                </c:pt>
                <c:pt idx="14">
                  <c:v>-7.70338028652581</c:v>
                </c:pt>
                <c:pt idx="15">
                  <c:v>-7.22829591971764</c:v>
                </c:pt>
                <c:pt idx="16">
                  <c:v>-6.68893245725256</c:v>
                </c:pt>
                <c:pt idx="17">
                  <c:v>-6.0857421875</c:v>
                </c:pt>
                <c:pt idx="18">
                  <c:v>-5.4199163488414</c:v>
                </c:pt>
                <c:pt idx="19">
                  <c:v>-4.69333416760038</c:v>
                </c:pt>
                <c:pt idx="20">
                  <c:v>-3.90851189597306</c:v>
                </c:pt>
                <c:pt idx="21">
                  <c:v>-3.0685518499581</c:v>
                </c:pt>
                <c:pt idx="22">
                  <c:v>-2.17709144728705</c:v>
                </c:pt>
                <c:pt idx="23">
                  <c:v>-1.2382522453545</c:v>
                </c:pt>
                <c:pt idx="24">
                  <c:v>-0.256588979148281</c:v>
                </c:pt>
                <c:pt idx="25">
                  <c:v>0.76296140082036</c:v>
                </c:pt>
                <c:pt idx="26">
                  <c:v>1.81513069058644</c:v>
                </c:pt>
                <c:pt idx="27">
                  <c:v>2.89437039480112</c:v>
                </c:pt>
                <c:pt idx="28">
                  <c:v>3.99490268880161</c:v>
                </c:pt>
                <c:pt idx="29">
                  <c:v>5.11077138068065</c:v>
                </c:pt>
                <c:pt idx="30">
                  <c:v>6.23589287335668</c:v>
                </c:pt>
                <c:pt idx="31">
                  <c:v>7.36410712664332</c:v>
                </c:pt>
                <c:pt idx="32">
                  <c:v>8.48922861931935</c:v>
                </c:pt>
                <c:pt idx="33">
                  <c:v>9.60509731119839</c:v>
                </c:pt>
                <c:pt idx="34">
                  <c:v>10.7056296051989</c:v>
                </c:pt>
                <c:pt idx="35">
                  <c:v>11.7848693094136</c:v>
                </c:pt>
                <c:pt idx="36">
                  <c:v>12.8370385991797</c:v>
                </c:pt>
                <c:pt idx="37">
                  <c:v>13.8565889791482</c:v>
                </c:pt>
                <c:pt idx="38">
                  <c:v>14.8382522453545</c:v>
                </c:pt>
                <c:pt idx="39">
                  <c:v>15.777091447287</c:v>
                </c:pt>
                <c:pt idx="40">
                  <c:v>16.6685518499581</c:v>
                </c:pt>
                <c:pt idx="41">
                  <c:v>17.5085118959731</c:v>
                </c:pt>
                <c:pt idx="42">
                  <c:v>18.2933341676004</c:v>
                </c:pt>
                <c:pt idx="43">
                  <c:v>19.0199163488414</c:v>
                </c:pt>
                <c:pt idx="44">
                  <c:v>19.6857421875</c:v>
                </c:pt>
                <c:pt idx="45">
                  <c:v>20.2889324572526</c:v>
                </c:pt>
                <c:pt idx="46">
                  <c:v>20.8282959197176</c:v>
                </c:pt>
                <c:pt idx="47">
                  <c:v>21.3033802865258</c:v>
                </c:pt>
                <c:pt idx="48">
                  <c:v>21.7145231813895</c:v>
                </c:pt>
                <c:pt idx="49">
                  <c:v>22.0629031021726</c:v>
                </c:pt>
                <c:pt idx="50">
                  <c:v>22.3505903829606</c:v>
                </c:pt>
                <c:pt idx="51">
                  <c:v>22.5805981561299</c:v>
                </c:pt>
                <c:pt idx="52">
                  <c:v>22.7569333144183</c:v>
                </c:pt>
                <c:pt idx="53">
                  <c:v>22.8846474729938</c:v>
                </c:pt>
                <c:pt idx="54">
                  <c:v>22.9698879315256</c:v>
                </c:pt>
                <c:pt idx="55">
                  <c:v>23.0199486362528</c:v>
                </c:pt>
                <c:pt idx="56">
                  <c:v>23.0433211420547</c:v>
                </c:pt>
                <c:pt idx="57">
                  <c:v>23.0497455745209</c:v>
                </c:pt>
                <c:pt idx="58">
                  <c:v>23.0497455745209</c:v>
                </c:pt>
                <c:pt idx="59">
                  <c:v>23.0433211420547</c:v>
                </c:pt>
                <c:pt idx="60">
                  <c:v>23.0199486362527</c:v>
                </c:pt>
                <c:pt idx="61">
                  <c:v>22.9698879315255</c:v>
                </c:pt>
                <c:pt idx="62">
                  <c:v>22.8846474729938</c:v>
                </c:pt>
                <c:pt idx="63">
                  <c:v>22.7569333144183</c:v>
                </c:pt>
                <c:pt idx="64">
                  <c:v>22.5805981561299</c:v>
                </c:pt>
                <c:pt idx="65">
                  <c:v>22.3505903829606</c:v>
                </c:pt>
                <c:pt idx="66">
                  <c:v>22.0629031021726</c:v>
                </c:pt>
                <c:pt idx="67">
                  <c:v>21.7145231813895</c:v>
                </c:pt>
                <c:pt idx="68">
                  <c:v>21.3033802865258</c:v>
                </c:pt>
                <c:pt idx="69">
                  <c:v>20.8282959197176</c:v>
                </c:pt>
                <c:pt idx="70">
                  <c:v>20.2889324572526</c:v>
                </c:pt>
                <c:pt idx="71">
                  <c:v>19.6857421875</c:v>
                </c:pt>
                <c:pt idx="72">
                  <c:v>19.0199163488414</c:v>
                </c:pt>
                <c:pt idx="73">
                  <c:v>18.2933341676004</c:v>
                </c:pt>
                <c:pt idx="74">
                  <c:v>17.5085118959731</c:v>
                </c:pt>
                <c:pt idx="75">
                  <c:v>16.6685518499581</c:v>
                </c:pt>
                <c:pt idx="76">
                  <c:v>15.777091447287</c:v>
                </c:pt>
                <c:pt idx="77">
                  <c:v>14.8382522453545</c:v>
                </c:pt>
                <c:pt idx="78">
                  <c:v>13.8565889791482</c:v>
                </c:pt>
                <c:pt idx="79">
                  <c:v>12.8370385991796</c:v>
                </c:pt>
                <c:pt idx="80">
                  <c:v>11.7848693094136</c:v>
                </c:pt>
                <c:pt idx="81">
                  <c:v>10.7056296051989</c:v>
                </c:pt>
                <c:pt idx="82">
                  <c:v>9.60509731119842</c:v>
                </c:pt>
                <c:pt idx="83">
                  <c:v>8.48922861931935</c:v>
                </c:pt>
                <c:pt idx="84">
                  <c:v>7.36410712664332</c:v>
                </c:pt>
                <c:pt idx="85">
                  <c:v>6.23589287335668</c:v>
                </c:pt>
                <c:pt idx="86">
                  <c:v>5.11077138068065</c:v>
                </c:pt>
                <c:pt idx="87">
                  <c:v>3.99490268880161</c:v>
                </c:pt>
                <c:pt idx="88">
                  <c:v>2.89437039480112</c:v>
                </c:pt>
                <c:pt idx="89">
                  <c:v>1.81513069058644</c:v>
                </c:pt>
                <c:pt idx="90">
                  <c:v>0.76296140082036</c:v>
                </c:pt>
                <c:pt idx="91">
                  <c:v>-0.256588979148249</c:v>
                </c:pt>
                <c:pt idx="92">
                  <c:v>-1.2382522453545</c:v>
                </c:pt>
                <c:pt idx="93">
                  <c:v>-2.17709144728705</c:v>
                </c:pt>
                <c:pt idx="94">
                  <c:v>-3.0685518499581</c:v>
                </c:pt>
                <c:pt idx="95">
                  <c:v>-3.90851189597303</c:v>
                </c:pt>
                <c:pt idx="96">
                  <c:v>-4.69333416760038</c:v>
                </c:pt>
                <c:pt idx="97">
                  <c:v>-5.4199163488414</c:v>
                </c:pt>
                <c:pt idx="98">
                  <c:v>-6.0857421875</c:v>
                </c:pt>
                <c:pt idx="99">
                  <c:v>-6.68893245725256</c:v>
                </c:pt>
                <c:pt idx="100">
                  <c:v>-7.22829591971764</c:v>
                </c:pt>
                <c:pt idx="101">
                  <c:v>-7.7033802865258</c:v>
                </c:pt>
                <c:pt idx="102">
                  <c:v>-8.11452318138947</c:v>
                </c:pt>
                <c:pt idx="103">
                  <c:v>-8.46290310217259</c:v>
                </c:pt>
                <c:pt idx="104">
                  <c:v>-8.75059038296055</c:v>
                </c:pt>
                <c:pt idx="105">
                  <c:v>-8.98059815612992</c:v>
                </c:pt>
                <c:pt idx="106">
                  <c:v>-9.15693331441824</c:v>
                </c:pt>
                <c:pt idx="107">
                  <c:v>-9.28464747299383</c:v>
                </c:pt>
              </c:numCache>
            </c:numRef>
          </c:val>
          <c:smooth val="0"/>
        </c:ser>
        <c:ser>
          <c:idx val="2"/>
          <c:order val="2"/>
          <c:tx>
            <c:strRef>
              <c:f>"4 Actual"</c:f>
              <c:strCache>
                <c:ptCount val="1"/>
                <c:pt idx="0">
                  <c:v>4 Actual</c:v>
                </c:pt>
              </c:strCache>
            </c:strRef>
          </c:tx>
          <c:spPr>
            <a:solidFill>
              <a:srgbClr val="FBBC04"/>
            </a:solidFill>
            <a:ln w="19080">
              <a:solidFill>
                <a:srgbClr val="FBBC04"/>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'Planting Maths'!$J$17:$J$124</c:f>
              <c:numCache>
                <c:formatCode>General</c:formatCode>
                <c:ptCount val="108"/>
                <c:pt idx="0">
                  <c:v>-16.1</c:v>
                </c:pt>
                <c:pt idx="1">
                  <c:v>-16.2</c:v>
                </c:pt>
                <c:pt idx="2">
                  <c:v>-17.8</c:v>
                </c:pt>
                <c:pt idx="3">
                  <c:v>-17</c:v>
                </c:pt>
                <c:pt idx="4">
                  <c:v>-17.5</c:v>
                </c:pt>
                <c:pt idx="5">
                  <c:v>-16.3</c:v>
                </c:pt>
                <c:pt idx="6">
                  <c:v>-17</c:v>
                </c:pt>
                <c:pt idx="7">
                  <c:v>-16.8</c:v>
                </c:pt>
                <c:pt idx="8">
                  <c:v>-17</c:v>
                </c:pt>
                <c:pt idx="9">
                  <c:v>-17</c:v>
                </c:pt>
                <c:pt idx="10">
                  <c:v>-16</c:v>
                </c:pt>
                <c:pt idx="11">
                  <c:v>-16.5</c:v>
                </c:pt>
                <c:pt idx="12">
                  <c:v>-16.6</c:v>
                </c:pt>
                <c:pt idx="13">
                  <c:v>-15.6</c:v>
                </c:pt>
                <c:pt idx="14">
                  <c:v>-15.5</c:v>
                </c:pt>
                <c:pt idx="15">
                  <c:v>-14.9</c:v>
                </c:pt>
                <c:pt idx="16">
                  <c:v>-14.4</c:v>
                </c:pt>
                <c:pt idx="17">
                  <c:v>-13.1</c:v>
                </c:pt>
                <c:pt idx="18">
                  <c:v>-12.4</c:v>
                </c:pt>
                <c:pt idx="19">
                  <c:v>-14.4</c:v>
                </c:pt>
                <c:pt idx="20">
                  <c:v>-12.7</c:v>
                </c:pt>
                <c:pt idx="21">
                  <c:v>-11.2</c:v>
                </c:pt>
                <c:pt idx="22">
                  <c:v>-10.7</c:v>
                </c:pt>
                <c:pt idx="23">
                  <c:v>-8.6</c:v>
                </c:pt>
                <c:pt idx="24">
                  <c:v>-7.1</c:v>
                </c:pt>
                <c:pt idx="25">
                  <c:v>-8.2</c:v>
                </c:pt>
                <c:pt idx="26">
                  <c:v>-6.3</c:v>
                </c:pt>
                <c:pt idx="27">
                  <c:v>-6</c:v>
                </c:pt>
                <c:pt idx="28">
                  <c:v>-4</c:v>
                </c:pt>
                <c:pt idx="29">
                  <c:v>-2.4</c:v>
                </c:pt>
                <c:pt idx="30">
                  <c:v>-0.9</c:v>
                </c:pt>
                <c:pt idx="31">
                  <c:v>-0.3</c:v>
                </c:pt>
                <c:pt idx="32">
                  <c:v>0.6</c:v>
                </c:pt>
                <c:pt idx="33">
                  <c:v>1.5</c:v>
                </c:pt>
                <c:pt idx="34">
                  <c:v>2.5</c:v>
                </c:pt>
                <c:pt idx="35">
                  <c:v>3.3</c:v>
                </c:pt>
                <c:pt idx="36">
                  <c:v>5.5</c:v>
                </c:pt>
                <c:pt idx="37">
                  <c:v>4.8</c:v>
                </c:pt>
                <c:pt idx="38">
                  <c:v>7.8</c:v>
                </c:pt>
                <c:pt idx="39">
                  <c:v>8</c:v>
                </c:pt>
                <c:pt idx="40">
                  <c:v>9.2</c:v>
                </c:pt>
                <c:pt idx="41">
                  <c:v>10.8</c:v>
                </c:pt>
                <c:pt idx="42">
                  <c:v>10.7</c:v>
                </c:pt>
                <c:pt idx="43">
                  <c:v>12.3</c:v>
                </c:pt>
                <c:pt idx="44">
                  <c:v>13.3</c:v>
                </c:pt>
                <c:pt idx="45">
                  <c:v>14.3</c:v>
                </c:pt>
                <c:pt idx="46">
                  <c:v>12.8</c:v>
                </c:pt>
                <c:pt idx="47">
                  <c:v>14.6</c:v>
                </c:pt>
                <c:pt idx="48">
                  <c:v>15.8</c:v>
                </c:pt>
                <c:pt idx="49">
                  <c:v>15.8</c:v>
                </c:pt>
                <c:pt idx="50">
                  <c:v>15.1</c:v>
                </c:pt>
                <c:pt idx="51">
                  <c:v>15.8</c:v>
                </c:pt>
                <c:pt idx="52">
                  <c:v>16.2</c:v>
                </c:pt>
                <c:pt idx="53">
                  <c:v>16.6</c:v>
                </c:pt>
                <c:pt idx="54">
                  <c:v>15.1</c:v>
                </c:pt>
                <c:pt idx="55">
                  <c:v>16.5</c:v>
                </c:pt>
                <c:pt idx="56">
                  <c:v>16.6</c:v>
                </c:pt>
                <c:pt idx="57">
                  <c:v>16.5</c:v>
                </c:pt>
                <c:pt idx="58">
                  <c:v>16.4</c:v>
                </c:pt>
                <c:pt idx="59">
                  <c:v>16.4</c:v>
                </c:pt>
                <c:pt idx="60">
                  <c:v>15.7</c:v>
                </c:pt>
                <c:pt idx="61">
                  <c:v>17.1</c:v>
                </c:pt>
                <c:pt idx="62">
                  <c:v>16.3</c:v>
                </c:pt>
                <c:pt idx="63">
                  <c:v>15.9</c:v>
                </c:pt>
                <c:pt idx="64">
                  <c:v>16</c:v>
                </c:pt>
                <c:pt idx="65">
                  <c:v>15.3</c:v>
                </c:pt>
                <c:pt idx="66">
                  <c:v>15.9</c:v>
                </c:pt>
                <c:pt idx="67">
                  <c:v>15.4</c:v>
                </c:pt>
                <c:pt idx="68">
                  <c:v>16.2</c:v>
                </c:pt>
                <c:pt idx="69">
                  <c:v>14.8</c:v>
                </c:pt>
                <c:pt idx="70">
                  <c:v>14.9</c:v>
                </c:pt>
                <c:pt idx="71">
                  <c:v>13.1</c:v>
                </c:pt>
                <c:pt idx="72">
                  <c:v>13.3</c:v>
                </c:pt>
                <c:pt idx="73">
                  <c:v>12</c:v>
                </c:pt>
                <c:pt idx="74">
                  <c:v>11.3</c:v>
                </c:pt>
                <c:pt idx="75">
                  <c:v>10.5</c:v>
                </c:pt>
                <c:pt idx="76">
                  <c:v>10</c:v>
                </c:pt>
                <c:pt idx="77">
                  <c:v>9.1</c:v>
                </c:pt>
                <c:pt idx="78">
                  <c:v>7.6</c:v>
                </c:pt>
                <c:pt idx="79">
                  <c:v>7.5</c:v>
                </c:pt>
                <c:pt idx="80">
                  <c:v>6</c:v>
                </c:pt>
                <c:pt idx="81">
                  <c:v>3.7</c:v>
                </c:pt>
                <c:pt idx="82">
                  <c:v>4</c:v>
                </c:pt>
                <c:pt idx="83">
                  <c:v>2</c:v>
                </c:pt>
                <c:pt idx="84">
                  <c:v>0.3</c:v>
                </c:pt>
                <c:pt idx="85">
                  <c:v>-0.1</c:v>
                </c:pt>
                <c:pt idx="86">
                  <c:v>-1.4</c:v>
                </c:pt>
                <c:pt idx="87">
                  <c:v>-1.5</c:v>
                </c:pt>
                <c:pt idx="88">
                  <c:v>-2.5</c:v>
                </c:pt>
                <c:pt idx="89">
                  <c:v>-4.8</c:v>
                </c:pt>
                <c:pt idx="90">
                  <c:v>-4.9</c:v>
                </c:pt>
                <c:pt idx="91">
                  <c:v>-6.8</c:v>
                </c:pt>
                <c:pt idx="92">
                  <c:v>-7.9</c:v>
                </c:pt>
                <c:pt idx="93">
                  <c:v>-8.4</c:v>
                </c:pt>
                <c:pt idx="94">
                  <c:v>-10.5</c:v>
                </c:pt>
                <c:pt idx="95">
                  <c:v>-11.3</c:v>
                </c:pt>
                <c:pt idx="96">
                  <c:v>-11.1</c:v>
                </c:pt>
                <c:pt idx="97">
                  <c:v>-11</c:v>
                </c:pt>
                <c:pt idx="98">
                  <c:v>-13.2</c:v>
                </c:pt>
                <c:pt idx="99">
                  <c:v>-13.2</c:v>
                </c:pt>
                <c:pt idx="100">
                  <c:v>-14.2</c:v>
                </c:pt>
                <c:pt idx="101">
                  <c:v>-14.6</c:v>
                </c:pt>
                <c:pt idx="102">
                  <c:v>-14.5</c:v>
                </c:pt>
                <c:pt idx="103">
                  <c:v>-15.8</c:v>
                </c:pt>
                <c:pt idx="104">
                  <c:v>-16.2</c:v>
                </c:pt>
                <c:pt idx="105">
                  <c:v>-15.5</c:v>
                </c:pt>
                <c:pt idx="106">
                  <c:v>-16.3</c:v>
                </c:pt>
                <c:pt idx="107">
                  <c:v>-17</c:v>
                </c:pt>
              </c:numCache>
            </c:numRef>
          </c:val>
          <c:smooth val="0"/>
        </c:ser>
        <c:ser>
          <c:idx val="3"/>
          <c:order val="3"/>
          <c:tx>
            <c:strRef>
              <c:f>"16 Actual"</c:f>
              <c:strCache>
                <c:ptCount val="1"/>
                <c:pt idx="0">
                  <c:v>16 Actual</c:v>
                </c:pt>
              </c:strCache>
            </c:strRef>
          </c:tx>
          <c:spPr>
            <a:solidFill>
              <a:srgbClr val="34A853"/>
            </a:solidFill>
            <a:ln w="19080">
              <a:solidFill>
                <a:srgbClr val="34A853"/>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'Planting Maths'!$K$17:$K$124</c:f>
              <c:numCache>
                <c:formatCode>General</c:formatCode>
                <c:ptCount val="108"/>
                <c:pt idx="0">
                  <c:v>-8.8</c:v>
                </c:pt>
                <c:pt idx="1">
                  <c:v>-8.5</c:v>
                </c:pt>
                <c:pt idx="2">
                  <c:v>-7.3</c:v>
                </c:pt>
                <c:pt idx="3">
                  <c:v>-7.6</c:v>
                </c:pt>
                <c:pt idx="4">
                  <c:v>-8.7</c:v>
                </c:pt>
                <c:pt idx="5">
                  <c:v>-8.5</c:v>
                </c:pt>
                <c:pt idx="6">
                  <c:v>-8</c:v>
                </c:pt>
                <c:pt idx="7">
                  <c:v>-7.8</c:v>
                </c:pt>
                <c:pt idx="8">
                  <c:v>-8.4</c:v>
                </c:pt>
                <c:pt idx="9">
                  <c:v>-7.9</c:v>
                </c:pt>
                <c:pt idx="10">
                  <c:v>-7.4</c:v>
                </c:pt>
                <c:pt idx="11">
                  <c:v>-7.9</c:v>
                </c:pt>
                <c:pt idx="12">
                  <c:v>-6.5</c:v>
                </c:pt>
                <c:pt idx="13">
                  <c:v>-5.7</c:v>
                </c:pt>
                <c:pt idx="14">
                  <c:v>-6.8</c:v>
                </c:pt>
                <c:pt idx="15">
                  <c:v>-4.4</c:v>
                </c:pt>
                <c:pt idx="16">
                  <c:v>-4.4</c:v>
                </c:pt>
                <c:pt idx="17">
                  <c:v>-5.2</c:v>
                </c:pt>
                <c:pt idx="18">
                  <c:v>-4.3</c:v>
                </c:pt>
                <c:pt idx="19">
                  <c:v>-2.9</c:v>
                </c:pt>
                <c:pt idx="20">
                  <c:v>-2.7</c:v>
                </c:pt>
                <c:pt idx="21">
                  <c:v>-2.6</c:v>
                </c:pt>
                <c:pt idx="22">
                  <c:v>-0.2</c:v>
                </c:pt>
                <c:pt idx="23">
                  <c:v>0.1</c:v>
                </c:pt>
                <c:pt idx="24">
                  <c:v>1.8</c:v>
                </c:pt>
                <c:pt idx="25">
                  <c:v>1.6</c:v>
                </c:pt>
                <c:pt idx="26">
                  <c:v>2.8</c:v>
                </c:pt>
                <c:pt idx="27">
                  <c:v>4.7</c:v>
                </c:pt>
                <c:pt idx="28">
                  <c:v>5.3</c:v>
                </c:pt>
                <c:pt idx="29">
                  <c:v>7.5</c:v>
                </c:pt>
                <c:pt idx="30">
                  <c:v>7.1</c:v>
                </c:pt>
                <c:pt idx="31">
                  <c:v>8.1</c:v>
                </c:pt>
                <c:pt idx="32">
                  <c:v>9</c:v>
                </c:pt>
                <c:pt idx="33">
                  <c:v>10.9</c:v>
                </c:pt>
                <c:pt idx="34">
                  <c:v>12.5</c:v>
                </c:pt>
                <c:pt idx="35">
                  <c:v>14.8</c:v>
                </c:pt>
                <c:pt idx="36">
                  <c:v>14.4</c:v>
                </c:pt>
                <c:pt idx="37">
                  <c:v>16.6</c:v>
                </c:pt>
                <c:pt idx="38">
                  <c:v>17</c:v>
                </c:pt>
                <c:pt idx="39">
                  <c:v>18.7</c:v>
                </c:pt>
                <c:pt idx="40">
                  <c:v>18.9</c:v>
                </c:pt>
                <c:pt idx="41">
                  <c:v>19</c:v>
                </c:pt>
                <c:pt idx="42">
                  <c:v>21.2</c:v>
                </c:pt>
                <c:pt idx="43">
                  <c:v>21</c:v>
                </c:pt>
                <c:pt idx="44">
                  <c:v>22.3</c:v>
                </c:pt>
                <c:pt idx="45">
                  <c:v>22.7</c:v>
                </c:pt>
                <c:pt idx="46">
                  <c:v>22.5</c:v>
                </c:pt>
                <c:pt idx="47">
                  <c:v>24</c:v>
                </c:pt>
                <c:pt idx="48">
                  <c:v>23.3</c:v>
                </c:pt>
                <c:pt idx="49">
                  <c:v>24.5</c:v>
                </c:pt>
                <c:pt idx="50">
                  <c:v>25.5</c:v>
                </c:pt>
                <c:pt idx="51">
                  <c:v>25</c:v>
                </c:pt>
                <c:pt idx="52">
                  <c:v>24.4</c:v>
                </c:pt>
                <c:pt idx="53">
                  <c:v>24.9</c:v>
                </c:pt>
                <c:pt idx="54">
                  <c:v>24.9</c:v>
                </c:pt>
                <c:pt idx="55">
                  <c:v>25.7</c:v>
                </c:pt>
                <c:pt idx="56">
                  <c:v>26.7</c:v>
                </c:pt>
                <c:pt idx="57">
                  <c:v>24.7</c:v>
                </c:pt>
                <c:pt idx="58">
                  <c:v>25.5</c:v>
                </c:pt>
                <c:pt idx="59">
                  <c:v>25.4</c:v>
                </c:pt>
                <c:pt idx="60">
                  <c:v>24.9</c:v>
                </c:pt>
                <c:pt idx="61">
                  <c:v>25</c:v>
                </c:pt>
                <c:pt idx="62">
                  <c:v>26.6</c:v>
                </c:pt>
                <c:pt idx="63">
                  <c:v>23.9</c:v>
                </c:pt>
                <c:pt idx="64">
                  <c:v>25</c:v>
                </c:pt>
                <c:pt idx="65">
                  <c:v>23.8</c:v>
                </c:pt>
                <c:pt idx="66">
                  <c:v>24.9</c:v>
                </c:pt>
                <c:pt idx="67">
                  <c:v>25.1</c:v>
                </c:pt>
                <c:pt idx="68">
                  <c:v>23.3</c:v>
                </c:pt>
                <c:pt idx="69">
                  <c:v>24.2</c:v>
                </c:pt>
                <c:pt idx="70">
                  <c:v>22.3</c:v>
                </c:pt>
                <c:pt idx="71">
                  <c:v>22.3</c:v>
                </c:pt>
                <c:pt idx="72">
                  <c:v>21.3</c:v>
                </c:pt>
                <c:pt idx="73">
                  <c:v>20.9</c:v>
                </c:pt>
                <c:pt idx="74">
                  <c:v>20.2</c:v>
                </c:pt>
                <c:pt idx="75">
                  <c:v>19.3</c:v>
                </c:pt>
                <c:pt idx="76">
                  <c:v>17.6</c:v>
                </c:pt>
                <c:pt idx="77">
                  <c:v>17.7</c:v>
                </c:pt>
                <c:pt idx="78">
                  <c:v>16</c:v>
                </c:pt>
                <c:pt idx="79">
                  <c:v>15.2</c:v>
                </c:pt>
                <c:pt idx="80">
                  <c:v>14.6</c:v>
                </c:pt>
                <c:pt idx="81">
                  <c:v>13.9</c:v>
                </c:pt>
                <c:pt idx="82">
                  <c:v>12.6</c:v>
                </c:pt>
                <c:pt idx="83">
                  <c:v>10.6</c:v>
                </c:pt>
                <c:pt idx="84">
                  <c:v>9.4</c:v>
                </c:pt>
                <c:pt idx="85">
                  <c:v>9</c:v>
                </c:pt>
                <c:pt idx="86">
                  <c:v>8.5</c:v>
                </c:pt>
                <c:pt idx="87">
                  <c:v>6.3</c:v>
                </c:pt>
                <c:pt idx="88">
                  <c:v>6</c:v>
                </c:pt>
                <c:pt idx="89">
                  <c:v>4.2</c:v>
                </c:pt>
                <c:pt idx="90">
                  <c:v>3.5</c:v>
                </c:pt>
                <c:pt idx="91">
                  <c:v>1.7</c:v>
                </c:pt>
                <c:pt idx="92">
                  <c:v>2.1</c:v>
                </c:pt>
                <c:pt idx="93">
                  <c:v>-0.1</c:v>
                </c:pt>
                <c:pt idx="94">
                  <c:v>-1.5</c:v>
                </c:pt>
                <c:pt idx="95">
                  <c:v>-2.7</c:v>
                </c:pt>
                <c:pt idx="96">
                  <c:v>-1.7</c:v>
                </c:pt>
                <c:pt idx="97">
                  <c:v>-2</c:v>
                </c:pt>
                <c:pt idx="98">
                  <c:v>-4.3</c:v>
                </c:pt>
                <c:pt idx="99">
                  <c:v>-6</c:v>
                </c:pt>
                <c:pt idx="100">
                  <c:v>-4.3</c:v>
                </c:pt>
                <c:pt idx="101">
                  <c:v>-6.1</c:v>
                </c:pt>
                <c:pt idx="102">
                  <c:v>-6.6</c:v>
                </c:pt>
                <c:pt idx="103">
                  <c:v>-6.8</c:v>
                </c:pt>
                <c:pt idx="104">
                  <c:v>-6.6</c:v>
                </c:pt>
                <c:pt idx="105">
                  <c:v>-8.1</c:v>
                </c:pt>
                <c:pt idx="106">
                  <c:v>-7.5</c:v>
                </c:pt>
                <c:pt idx="107">
                  <c:v>-7.2</c:v>
                </c:pt>
              </c:numCache>
            </c:numRef>
          </c:val>
          <c:smooth val="0"/>
        </c:ser>
        <c:ser>
          <c:idx val="4"/>
          <c:order val="4"/>
          <c:tx>
            <c:strRef>
              <c:f>"4 Est - Act"</c:f>
              <c:strCache>
                <c:ptCount val="1"/>
                <c:pt idx="0">
                  <c:v>4 Est - Act</c:v>
                </c:pt>
              </c:strCache>
            </c:strRef>
          </c:tx>
          <c:spPr>
            <a:solidFill>
              <a:srgbClr val="FF6D01"/>
            </a:solidFill>
            <a:ln w="19080">
              <a:solidFill>
                <a:srgbClr val="FF6D01"/>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'Planting Maths'!$L$17:$L$124</c:f>
              <c:numCache>
                <c:formatCode>General</c:formatCode>
                <c:ptCount val="108"/>
                <c:pt idx="0">
                  <c:v>-0.869887931525572</c:v>
                </c:pt>
                <c:pt idx="1">
                  <c:v>-0.819948636252725</c:v>
                </c:pt>
                <c:pt idx="2">
                  <c:v>0.75667885794531</c:v>
                </c:pt>
                <c:pt idx="3">
                  <c:v>-0.0497455745208271</c:v>
                </c:pt>
                <c:pt idx="4">
                  <c:v>0.450254425479173</c:v>
                </c:pt>
                <c:pt idx="5">
                  <c:v>-0.74332114205469</c:v>
                </c:pt>
                <c:pt idx="6">
                  <c:v>-0.0199486362527246</c:v>
                </c:pt>
                <c:pt idx="7">
                  <c:v>-0.169887931525572</c:v>
                </c:pt>
                <c:pt idx="8">
                  <c:v>0.115352527006173</c:v>
                </c:pt>
                <c:pt idx="9">
                  <c:v>0.243066685581763</c:v>
                </c:pt>
                <c:pt idx="10">
                  <c:v>-0.58059815612992</c:v>
                </c:pt>
                <c:pt idx="11">
                  <c:v>0.149409617039453</c:v>
                </c:pt>
                <c:pt idx="12">
                  <c:v>0.537096897827414</c:v>
                </c:pt>
                <c:pt idx="13">
                  <c:v>-0.114523181389464</c:v>
                </c:pt>
                <c:pt idx="14">
                  <c:v>0.196619713474192</c:v>
                </c:pt>
                <c:pt idx="15">
                  <c:v>0.0717040802823643</c:v>
                </c:pt>
                <c:pt idx="16">
                  <c:v>0.111067542747444</c:v>
                </c:pt>
                <c:pt idx="17">
                  <c:v>-0.585742187500001</c:v>
                </c:pt>
                <c:pt idx="18">
                  <c:v>-0.619916348841402</c:v>
                </c:pt>
                <c:pt idx="19">
                  <c:v>2.10666583239962</c:v>
                </c:pt>
                <c:pt idx="20">
                  <c:v>1.19148810402694</c:v>
                </c:pt>
                <c:pt idx="21">
                  <c:v>0.5314481500419</c:v>
                </c:pt>
                <c:pt idx="22">
                  <c:v>0.922908552712952</c:v>
                </c:pt>
                <c:pt idx="23">
                  <c:v>-0.2382522453545</c:v>
                </c:pt>
                <c:pt idx="24">
                  <c:v>-0.756588979148281</c:v>
                </c:pt>
                <c:pt idx="25">
                  <c:v>1.36296140082036</c:v>
                </c:pt>
                <c:pt idx="26">
                  <c:v>0.515130690586435</c:v>
                </c:pt>
                <c:pt idx="27">
                  <c:v>1.29437039480112</c:v>
                </c:pt>
                <c:pt idx="28">
                  <c:v>0.394902688801611</c:v>
                </c:pt>
                <c:pt idx="29">
                  <c:v>-0.0892286193193459</c:v>
                </c:pt>
                <c:pt idx="30">
                  <c:v>-0.46410712664332</c:v>
                </c:pt>
                <c:pt idx="31">
                  <c:v>0.0641071266433217</c:v>
                </c:pt>
                <c:pt idx="32">
                  <c:v>0.289228619319344</c:v>
                </c:pt>
                <c:pt idx="33">
                  <c:v>0.505097311198392</c:v>
                </c:pt>
                <c:pt idx="34">
                  <c:v>0.605629605198879</c:v>
                </c:pt>
                <c:pt idx="35">
                  <c:v>0.884869309413597</c:v>
                </c:pt>
                <c:pt idx="36">
                  <c:v>-0.26296140082033</c:v>
                </c:pt>
                <c:pt idx="37">
                  <c:v>1.45658897914825</c:v>
                </c:pt>
                <c:pt idx="38">
                  <c:v>-0.5617477546455</c:v>
                </c:pt>
                <c:pt idx="39">
                  <c:v>0.177091447287047</c:v>
                </c:pt>
                <c:pt idx="40">
                  <c:v>-0.131448150041898</c:v>
                </c:pt>
                <c:pt idx="41">
                  <c:v>-0.891488104026941</c:v>
                </c:pt>
                <c:pt idx="42">
                  <c:v>-0.00666583239961582</c:v>
                </c:pt>
                <c:pt idx="43">
                  <c:v>-0.8800836511586</c:v>
                </c:pt>
                <c:pt idx="44">
                  <c:v>-1.2142578125</c:v>
                </c:pt>
                <c:pt idx="45">
                  <c:v>-1.61106754274744</c:v>
                </c:pt>
                <c:pt idx="46">
                  <c:v>0.428295919717623</c:v>
                </c:pt>
                <c:pt idx="47">
                  <c:v>-0.896619713474221</c:v>
                </c:pt>
                <c:pt idx="48">
                  <c:v>-1.68547681861055</c:v>
                </c:pt>
                <c:pt idx="49">
                  <c:v>-1.33709689782743</c:v>
                </c:pt>
                <c:pt idx="50">
                  <c:v>-0.349409617039447</c:v>
                </c:pt>
                <c:pt idx="51">
                  <c:v>-0.819401843870082</c:v>
                </c:pt>
                <c:pt idx="52">
                  <c:v>-1.04306668558174</c:v>
                </c:pt>
                <c:pt idx="53">
                  <c:v>-1.31535252700619</c:v>
                </c:pt>
                <c:pt idx="54">
                  <c:v>0.269887931525572</c:v>
                </c:pt>
                <c:pt idx="55">
                  <c:v>-1.08005136374724</c:v>
                </c:pt>
                <c:pt idx="56">
                  <c:v>-1.15667885794534</c:v>
                </c:pt>
                <c:pt idx="57">
                  <c:v>-1.05025442547914</c:v>
                </c:pt>
                <c:pt idx="58">
                  <c:v>-0.950254425479134</c:v>
                </c:pt>
                <c:pt idx="59">
                  <c:v>-0.956678857945274</c:v>
                </c:pt>
                <c:pt idx="60">
                  <c:v>-0.280051363747276</c:v>
                </c:pt>
                <c:pt idx="61">
                  <c:v>-1.73011206847446</c:v>
                </c:pt>
                <c:pt idx="62">
                  <c:v>-1.01535252700619</c:v>
                </c:pt>
                <c:pt idx="63">
                  <c:v>-0.743066685581736</c:v>
                </c:pt>
                <c:pt idx="64">
                  <c:v>-1.01940184387008</c:v>
                </c:pt>
                <c:pt idx="65">
                  <c:v>-0.549409617039448</c:v>
                </c:pt>
                <c:pt idx="66">
                  <c:v>-1.43709689782743</c:v>
                </c:pt>
                <c:pt idx="67">
                  <c:v>-1.28547681861055</c:v>
                </c:pt>
                <c:pt idx="68">
                  <c:v>-2.49661971347419</c:v>
                </c:pt>
                <c:pt idx="69">
                  <c:v>-1.57170408028238</c:v>
                </c:pt>
                <c:pt idx="70">
                  <c:v>-2.21106754274744</c:v>
                </c:pt>
                <c:pt idx="71">
                  <c:v>-1.0142578125</c:v>
                </c:pt>
                <c:pt idx="72">
                  <c:v>-1.88008365115863</c:v>
                </c:pt>
                <c:pt idx="73">
                  <c:v>-1.30666583239965</c:v>
                </c:pt>
                <c:pt idx="74">
                  <c:v>-1.39148810402694</c:v>
                </c:pt>
                <c:pt idx="75">
                  <c:v>-1.4314481500419</c:v>
                </c:pt>
                <c:pt idx="76">
                  <c:v>-1.82290855271295</c:v>
                </c:pt>
                <c:pt idx="77">
                  <c:v>-1.8617477546455</c:v>
                </c:pt>
                <c:pt idx="78">
                  <c:v>-1.34341102085175</c:v>
                </c:pt>
                <c:pt idx="79">
                  <c:v>-2.26296140082036</c:v>
                </c:pt>
                <c:pt idx="80">
                  <c:v>-1.8151306905864</c:v>
                </c:pt>
                <c:pt idx="81">
                  <c:v>-0.594370394801121</c:v>
                </c:pt>
                <c:pt idx="82">
                  <c:v>-1.99490268880158</c:v>
                </c:pt>
                <c:pt idx="83">
                  <c:v>-1.11077138068066</c:v>
                </c:pt>
                <c:pt idx="84">
                  <c:v>-0.535892873356678</c:v>
                </c:pt>
                <c:pt idx="85">
                  <c:v>-1.26410712664332</c:v>
                </c:pt>
                <c:pt idx="86">
                  <c:v>-1.08922861931935</c:v>
                </c:pt>
                <c:pt idx="87">
                  <c:v>-2.10509731119839</c:v>
                </c:pt>
                <c:pt idx="88">
                  <c:v>-2.20562960519888</c:v>
                </c:pt>
                <c:pt idx="89">
                  <c:v>-0.984869309413565</c:v>
                </c:pt>
                <c:pt idx="90">
                  <c:v>-1.93703859917964</c:v>
                </c:pt>
                <c:pt idx="91">
                  <c:v>-1.05658897914825</c:v>
                </c:pt>
                <c:pt idx="92">
                  <c:v>-0.9382522453545</c:v>
                </c:pt>
                <c:pt idx="93">
                  <c:v>-1.37709144728705</c:v>
                </c:pt>
                <c:pt idx="94">
                  <c:v>-0.168551849958099</c:v>
                </c:pt>
                <c:pt idx="95">
                  <c:v>-0.208511895973025</c:v>
                </c:pt>
                <c:pt idx="96">
                  <c:v>-1.19333416760038</c:v>
                </c:pt>
                <c:pt idx="97">
                  <c:v>-2.0199163488414</c:v>
                </c:pt>
                <c:pt idx="98">
                  <c:v>-0.485742187500001</c:v>
                </c:pt>
                <c:pt idx="99">
                  <c:v>-1.08893245725256</c:v>
                </c:pt>
                <c:pt idx="100">
                  <c:v>-0.62829591971764</c:v>
                </c:pt>
                <c:pt idx="101">
                  <c:v>-0.703380286525801</c:v>
                </c:pt>
                <c:pt idx="102">
                  <c:v>-1.21452318138946</c:v>
                </c:pt>
                <c:pt idx="103">
                  <c:v>-0.262903102172587</c:v>
                </c:pt>
                <c:pt idx="104">
                  <c:v>-0.150590382960548</c:v>
                </c:pt>
                <c:pt idx="105">
                  <c:v>-1.08059815612992</c:v>
                </c:pt>
                <c:pt idx="106">
                  <c:v>-0.456933314418237</c:v>
                </c:pt>
                <c:pt idx="107">
                  <c:v>0.115352527006173</c:v>
                </c:pt>
              </c:numCache>
            </c:numRef>
          </c:val>
          <c:smooth val="0"/>
        </c:ser>
        <c:ser>
          <c:idx val="5"/>
          <c:order val="5"/>
          <c:tx>
            <c:strRef>
              <c:f>"16 Est - Act"</c:f>
              <c:strCache>
                <c:ptCount val="1"/>
                <c:pt idx="0">
                  <c:v>16 Est - Act</c:v>
                </c:pt>
              </c:strCache>
            </c:strRef>
          </c:tx>
          <c:spPr>
            <a:solidFill>
              <a:srgbClr val="46BDC6"/>
            </a:solidFill>
            <a:ln w="19080">
              <a:solidFill>
                <a:srgbClr val="46BDC6"/>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'Planting Maths'!$M$17:$M$124</c:f>
              <c:numCache>
                <c:formatCode>General</c:formatCode>
                <c:ptCount val="108"/>
                <c:pt idx="0">
                  <c:v>-0.569887931525571</c:v>
                </c:pt>
                <c:pt idx="1">
                  <c:v>-0.919948636252727</c:v>
                </c:pt>
                <c:pt idx="2">
                  <c:v>-2.14332114205469</c:v>
                </c:pt>
                <c:pt idx="3">
                  <c:v>-1.84974557452083</c:v>
                </c:pt>
                <c:pt idx="4">
                  <c:v>-0.74974557452083</c:v>
                </c:pt>
                <c:pt idx="5">
                  <c:v>-0.943321142054693</c:v>
                </c:pt>
                <c:pt idx="6">
                  <c:v>-1.41994863625273</c:v>
                </c:pt>
                <c:pt idx="7">
                  <c:v>-1.56988793152557</c:v>
                </c:pt>
                <c:pt idx="8">
                  <c:v>-0.884647472993828</c:v>
                </c:pt>
                <c:pt idx="9">
                  <c:v>-1.25693331441824</c:v>
                </c:pt>
                <c:pt idx="10">
                  <c:v>-1.58059815612992</c:v>
                </c:pt>
                <c:pt idx="11">
                  <c:v>-0.850590382960549</c:v>
                </c:pt>
                <c:pt idx="12">
                  <c:v>-1.96290310217259</c:v>
                </c:pt>
                <c:pt idx="13">
                  <c:v>-2.41452318138947</c:v>
                </c:pt>
                <c:pt idx="14">
                  <c:v>-0.90338028652581</c:v>
                </c:pt>
                <c:pt idx="15">
                  <c:v>-2.82829591971764</c:v>
                </c:pt>
                <c:pt idx="16">
                  <c:v>-2.28893245725256</c:v>
                </c:pt>
                <c:pt idx="17">
                  <c:v>-0.8857421875</c:v>
                </c:pt>
                <c:pt idx="18">
                  <c:v>-1.1199163488414</c:v>
                </c:pt>
                <c:pt idx="19">
                  <c:v>-1.79333416760038</c:v>
                </c:pt>
                <c:pt idx="20">
                  <c:v>-1.20851189597306</c:v>
                </c:pt>
                <c:pt idx="21">
                  <c:v>-0.468551849958101</c:v>
                </c:pt>
                <c:pt idx="22">
                  <c:v>-1.97709144728705</c:v>
                </c:pt>
                <c:pt idx="23">
                  <c:v>-1.3382522453545</c:v>
                </c:pt>
                <c:pt idx="24">
                  <c:v>-2.05658897914828</c:v>
                </c:pt>
                <c:pt idx="25">
                  <c:v>-0.83703859917964</c:v>
                </c:pt>
                <c:pt idx="26">
                  <c:v>-0.984869309413565</c:v>
                </c:pt>
                <c:pt idx="27">
                  <c:v>-1.80562960519888</c:v>
                </c:pt>
                <c:pt idx="28">
                  <c:v>-1.30509731119839</c:v>
                </c:pt>
                <c:pt idx="29">
                  <c:v>-2.38922861931935</c:v>
                </c:pt>
                <c:pt idx="30">
                  <c:v>-0.86410712664332</c:v>
                </c:pt>
                <c:pt idx="31">
                  <c:v>-0.735892873356678</c:v>
                </c:pt>
                <c:pt idx="32">
                  <c:v>-0.510771380680655</c:v>
                </c:pt>
                <c:pt idx="33">
                  <c:v>-1.29490268880161</c:v>
                </c:pt>
                <c:pt idx="34">
                  <c:v>-1.79437039480112</c:v>
                </c:pt>
                <c:pt idx="35">
                  <c:v>-3.0151306905864</c:v>
                </c:pt>
                <c:pt idx="36">
                  <c:v>-1.56296140082033</c:v>
                </c:pt>
                <c:pt idx="37">
                  <c:v>-2.74341102085176</c:v>
                </c:pt>
                <c:pt idx="38">
                  <c:v>-2.1617477546455</c:v>
                </c:pt>
                <c:pt idx="39">
                  <c:v>-2.92290855271295</c:v>
                </c:pt>
                <c:pt idx="40">
                  <c:v>-2.2314481500419</c:v>
                </c:pt>
                <c:pt idx="41">
                  <c:v>-1.49148810402694</c:v>
                </c:pt>
                <c:pt idx="42">
                  <c:v>-2.90666583239961</c:v>
                </c:pt>
                <c:pt idx="43">
                  <c:v>-1.9800836511586</c:v>
                </c:pt>
                <c:pt idx="44">
                  <c:v>-2.6142578125</c:v>
                </c:pt>
                <c:pt idx="45">
                  <c:v>-2.41106754274744</c:v>
                </c:pt>
                <c:pt idx="46">
                  <c:v>-1.67170408028237</c:v>
                </c:pt>
                <c:pt idx="47">
                  <c:v>-2.69661971347422</c:v>
                </c:pt>
                <c:pt idx="48">
                  <c:v>-1.58547681861054</c:v>
                </c:pt>
                <c:pt idx="49">
                  <c:v>-2.43709689782743</c:v>
                </c:pt>
                <c:pt idx="50">
                  <c:v>-3.14940961703945</c:v>
                </c:pt>
                <c:pt idx="51">
                  <c:v>-2.41940184387008</c:v>
                </c:pt>
                <c:pt idx="52">
                  <c:v>-1.64306668558173</c:v>
                </c:pt>
                <c:pt idx="53">
                  <c:v>-2.01535252700619</c:v>
                </c:pt>
                <c:pt idx="54">
                  <c:v>-1.93011206847443</c:v>
                </c:pt>
                <c:pt idx="55">
                  <c:v>-2.68005136374724</c:v>
                </c:pt>
                <c:pt idx="56">
                  <c:v>-3.65667885794534</c:v>
                </c:pt>
                <c:pt idx="57">
                  <c:v>-1.65025442547913</c:v>
                </c:pt>
                <c:pt idx="58">
                  <c:v>-2.45025442547913</c:v>
                </c:pt>
                <c:pt idx="59">
                  <c:v>-2.35667885794527</c:v>
                </c:pt>
                <c:pt idx="60">
                  <c:v>-1.88005136374727</c:v>
                </c:pt>
                <c:pt idx="61">
                  <c:v>-2.03011206847446</c:v>
                </c:pt>
                <c:pt idx="62">
                  <c:v>-3.71535252700619</c:v>
                </c:pt>
                <c:pt idx="63">
                  <c:v>-1.14306668558173</c:v>
                </c:pt>
                <c:pt idx="64">
                  <c:v>-2.41940184387008</c:v>
                </c:pt>
                <c:pt idx="65">
                  <c:v>-1.44940961703945</c:v>
                </c:pt>
                <c:pt idx="66">
                  <c:v>-2.83709689782743</c:v>
                </c:pt>
                <c:pt idx="67">
                  <c:v>-3.38547681861055</c:v>
                </c:pt>
                <c:pt idx="68">
                  <c:v>-1.99661971347419</c:v>
                </c:pt>
                <c:pt idx="69">
                  <c:v>-3.37170408028237</c:v>
                </c:pt>
                <c:pt idx="70">
                  <c:v>-2.01106754274744</c:v>
                </c:pt>
                <c:pt idx="71">
                  <c:v>-2.6142578125</c:v>
                </c:pt>
                <c:pt idx="72">
                  <c:v>-2.28008365115863</c:v>
                </c:pt>
                <c:pt idx="73">
                  <c:v>-2.60666583239965</c:v>
                </c:pt>
                <c:pt idx="74">
                  <c:v>-2.69148810402694</c:v>
                </c:pt>
                <c:pt idx="75">
                  <c:v>-2.6314481500419</c:v>
                </c:pt>
                <c:pt idx="76">
                  <c:v>-1.82290855271295</c:v>
                </c:pt>
                <c:pt idx="77">
                  <c:v>-2.8617477546455</c:v>
                </c:pt>
                <c:pt idx="78">
                  <c:v>-2.14341102085175</c:v>
                </c:pt>
                <c:pt idx="79">
                  <c:v>-2.36296140082036</c:v>
                </c:pt>
                <c:pt idx="80">
                  <c:v>-2.8151306905864</c:v>
                </c:pt>
                <c:pt idx="81">
                  <c:v>-3.19437039480112</c:v>
                </c:pt>
                <c:pt idx="82">
                  <c:v>-2.99490268880158</c:v>
                </c:pt>
                <c:pt idx="83">
                  <c:v>-2.11077138068065</c:v>
                </c:pt>
                <c:pt idx="84">
                  <c:v>-2.03589287335668</c:v>
                </c:pt>
                <c:pt idx="85">
                  <c:v>-2.76410712664332</c:v>
                </c:pt>
                <c:pt idx="86">
                  <c:v>-3.38922861931935</c:v>
                </c:pt>
                <c:pt idx="87">
                  <c:v>-2.30509731119839</c:v>
                </c:pt>
                <c:pt idx="88">
                  <c:v>-3.10562960519888</c:v>
                </c:pt>
                <c:pt idx="89">
                  <c:v>-2.38486930941357</c:v>
                </c:pt>
                <c:pt idx="90">
                  <c:v>-2.73703859917964</c:v>
                </c:pt>
                <c:pt idx="91">
                  <c:v>-1.95658897914825</c:v>
                </c:pt>
                <c:pt idx="92">
                  <c:v>-3.3382522453545</c:v>
                </c:pt>
                <c:pt idx="93">
                  <c:v>-2.07709144728705</c:v>
                </c:pt>
                <c:pt idx="94">
                  <c:v>-1.5685518499581</c:v>
                </c:pt>
                <c:pt idx="95">
                  <c:v>-1.20851189597303</c:v>
                </c:pt>
                <c:pt idx="96">
                  <c:v>-2.99333416760038</c:v>
                </c:pt>
                <c:pt idx="97">
                  <c:v>-3.4199163488414</c:v>
                </c:pt>
                <c:pt idx="98">
                  <c:v>-1.7857421875</c:v>
                </c:pt>
                <c:pt idx="99">
                  <c:v>-0.688932457252558</c:v>
                </c:pt>
                <c:pt idx="100">
                  <c:v>-2.92829591971764</c:v>
                </c:pt>
                <c:pt idx="101">
                  <c:v>-1.6033802865258</c:v>
                </c:pt>
                <c:pt idx="102">
                  <c:v>-1.51452318138947</c:v>
                </c:pt>
                <c:pt idx="103">
                  <c:v>-1.66290310217259</c:v>
                </c:pt>
                <c:pt idx="104">
                  <c:v>-2.15059038296055</c:v>
                </c:pt>
                <c:pt idx="105">
                  <c:v>-0.880598156129922</c:v>
                </c:pt>
                <c:pt idx="106">
                  <c:v>-1.65693331441824</c:v>
                </c:pt>
                <c:pt idx="107">
                  <c:v>-2.08464747299383</c:v>
                </c:pt>
              </c:numCache>
            </c:numRef>
          </c:val>
          <c:smooth val="0"/>
        </c:ser>
        <c:ser>
          <c:idx val="6"/>
          <c:order val="6"/>
          <c:tx>
            <c:strRef>
              <c:f>"4 Export"</c:f>
              <c:strCache>
                <c:ptCount val="1"/>
                <c:pt idx="0">
                  <c:v>4 Export</c:v>
                </c:pt>
              </c:strCache>
            </c:strRef>
          </c:tx>
          <c:spPr>
            <a:solidFill>
              <a:srgbClr val="7BAAF7"/>
            </a:solidFill>
            <a:ln w="19080">
              <a:solidFill>
                <a:srgbClr val="7BAAF7"/>
              </a:solidFill>
              <a:round/>
            </a:ln>
          </c:spPr>
          <c:marker>
            <c:symbol val="none"/>
          </c:marker>
          <c:dPt>
            <c:idx val="19"/>
            <c:marker>
              <c:symbol val="none"/>
            </c:marker>
          </c:dPt>
          <c:dPt>
            <c:idx val="22"/>
            <c:marker>
              <c:symbol val="none"/>
            </c:marker>
          </c:dPt>
          <c:dPt>
            <c:idx val="23"/>
            <c:marker>
              <c:symbol val="none"/>
            </c:marker>
          </c:dPt>
          <c:dLbls>
            <c:dLbl>
              <c:idx val="19"/>
              <c:txPr>
                <a:bodyPr wrap="none"/>
                <a:lstStyle/>
                <a:p>
                  <a:pPr>
                    <a:defRPr sz="1000" b="0" u="none" strike="noStrike">
                      <a:uFillTx/>
                      <a:latin typeface="Arial"/>
                    </a:defRPr>
                  </a:pPr>
                </a:p>
              </c:txPr>
              <c:showLegendKey val="0"/>
              <c:showVal val="0"/>
              <c:showCatName val="0"/>
              <c:showSerName val="0"/>
              <c:showPercent val="0"/>
              <c:separator> </c:separator>
            </c:dLbl>
            <c:dLbl>
              <c:idx val="22"/>
              <c:txPr>
                <a:bodyPr wrap="none"/>
                <a:lstStyle/>
                <a:p>
                  <a:pPr>
                    <a:defRPr sz="1000" b="0" u="none" strike="noStrike">
                      <a:uFillTx/>
                      <a:latin typeface="Arial"/>
                    </a:defRPr>
                  </a:pPr>
                </a:p>
              </c:txPr>
              <c:showLegendKey val="0"/>
              <c:showVal val="0"/>
              <c:showCatName val="0"/>
              <c:showSerName val="0"/>
              <c:showPercent val="0"/>
              <c:separator> </c:separator>
            </c:dLbl>
            <c:dLbl>
              <c:idx val="23"/>
              <c:txPr>
                <a:bodyPr wrap="none"/>
                <a:lstStyle/>
                <a:p>
                  <a:pPr>
                    <a:defRPr sz="1000" b="0" u="none" strike="noStrike">
                      <a:uFillTx/>
                      <a:latin typeface="Arial"/>
                    </a:defRPr>
                  </a:pPr>
                </a:p>
              </c:txPr>
              <c:showLegendKey val="0"/>
              <c:showVal val="0"/>
              <c:showCatName val="0"/>
              <c:showSerName val="0"/>
              <c:showPercent val="0"/>
              <c:separator> </c:separator>
            </c:dLbl>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'Planting Maths'!$N$17:$N$124</c:f>
              <c:numCache>
                <c:formatCode>General</c:formatCode>
                <c:ptCount val="108"/>
                <c:pt idx="0">
                  <c:v>-23.55502</c:v>
                </c:pt>
                <c:pt idx="1">
                  <c:v>-22.688868</c:v>
                </c:pt>
                <c:pt idx="2">
                  <c:v>-22.57214</c:v>
                </c:pt>
                <c:pt idx="3">
                  <c:v>-22.45352</c:v>
                </c:pt>
                <c:pt idx="4">
                  <c:v>-24.627691</c:v>
                </c:pt>
                <c:pt idx="5">
                  <c:v>-23.065195</c:v>
                </c:pt>
                <c:pt idx="6">
                  <c:v>-23.614023</c:v>
                </c:pt>
                <c:pt idx="7">
                  <c:v>-23.33651</c:v>
                </c:pt>
                <c:pt idx="8">
                  <c:v>-22.306946</c:v>
                </c:pt>
                <c:pt idx="9">
                  <c:v>-22.63052</c:v>
                </c:pt>
                <c:pt idx="10">
                  <c:v>-22.800684</c:v>
                </c:pt>
                <c:pt idx="11">
                  <c:v>-21.809416</c:v>
                </c:pt>
                <c:pt idx="12">
                  <c:v>-21.849669</c:v>
                </c:pt>
                <c:pt idx="13">
                  <c:v>-22.070263</c:v>
                </c:pt>
                <c:pt idx="14">
                  <c:v>-20.707449</c:v>
                </c:pt>
                <c:pt idx="15">
                  <c:v>-20.630209</c:v>
                </c:pt>
                <c:pt idx="16">
                  <c:v>-20.161499</c:v>
                </c:pt>
                <c:pt idx="17">
                  <c:v>-19.612083</c:v>
                </c:pt>
                <c:pt idx="18">
                  <c:v>-19.577929</c:v>
                </c:pt>
                <c:pt idx="19">
                  <c:v>-18.147728</c:v>
                </c:pt>
                <c:pt idx="20">
                  <c:v>-17.280428</c:v>
                </c:pt>
                <c:pt idx="21">
                  <c:v>-18.227816</c:v>
                </c:pt>
                <c:pt idx="22">
                  <c:v>-15.8259</c:v>
                </c:pt>
                <c:pt idx="23">
                  <c:v>-15.126586</c:v>
                </c:pt>
                <c:pt idx="24">
                  <c:v>-13.02264</c:v>
                </c:pt>
                <c:pt idx="25">
                  <c:v>-13.004377</c:v>
                </c:pt>
                <c:pt idx="26">
                  <c:v>-11.7226</c:v>
                </c:pt>
                <c:pt idx="27">
                  <c:v>-10.869858</c:v>
                </c:pt>
                <c:pt idx="28">
                  <c:v>-9.880151</c:v>
                </c:pt>
                <c:pt idx="29">
                  <c:v>-7.7173734</c:v>
                </c:pt>
                <c:pt idx="30">
                  <c:v>-7.356467</c:v>
                </c:pt>
                <c:pt idx="31">
                  <c:v>-5.3687825</c:v>
                </c:pt>
                <c:pt idx="32">
                  <c:v>-4.118557</c:v>
                </c:pt>
                <c:pt idx="33">
                  <c:v>-2.7348363</c:v>
                </c:pt>
                <c:pt idx="34">
                  <c:v>-1.994472</c:v>
                </c:pt>
                <c:pt idx="35">
                  <c:v>-1.2134322</c:v>
                </c:pt>
                <c:pt idx="36">
                  <c:v>0.9698309</c:v>
                </c:pt>
                <c:pt idx="37">
                  <c:v>1.8276335</c:v>
                </c:pt>
                <c:pt idx="38">
                  <c:v>1.5871426</c:v>
                </c:pt>
                <c:pt idx="39">
                  <c:v>2.603102</c:v>
                </c:pt>
                <c:pt idx="40">
                  <c:v>3.8399863</c:v>
                </c:pt>
                <c:pt idx="41">
                  <c:v>4.9612575</c:v>
                </c:pt>
                <c:pt idx="42">
                  <c:v>5.439605</c:v>
                </c:pt>
                <c:pt idx="43">
                  <c:v>7.39965</c:v>
                </c:pt>
                <c:pt idx="44">
                  <c:v>7.924348</c:v>
                </c:pt>
                <c:pt idx="45">
                  <c:v>9.729364</c:v>
                </c:pt>
                <c:pt idx="46">
                  <c:v>8.513084</c:v>
                </c:pt>
                <c:pt idx="47">
                  <c:v>9.554385</c:v>
                </c:pt>
                <c:pt idx="48">
                  <c:v>11.088838</c:v>
                </c:pt>
                <c:pt idx="49">
                  <c:v>11.254471</c:v>
                </c:pt>
                <c:pt idx="50">
                  <c:v>11.311537</c:v>
                </c:pt>
                <c:pt idx="51">
                  <c:v>11.7383995</c:v>
                </c:pt>
                <c:pt idx="52">
                  <c:v>11.930826</c:v>
                </c:pt>
                <c:pt idx="53">
                  <c:v>10.618076</c:v>
                </c:pt>
                <c:pt idx="54">
                  <c:v>11.354278</c:v>
                </c:pt>
                <c:pt idx="55">
                  <c:v>12.346846</c:v>
                </c:pt>
                <c:pt idx="56">
                  <c:v>11.126062</c:v>
                </c:pt>
                <c:pt idx="57">
                  <c:v>12.764766</c:v>
                </c:pt>
                <c:pt idx="58">
                  <c:v>12.644206</c:v>
                </c:pt>
                <c:pt idx="59">
                  <c:v>12.507374</c:v>
                </c:pt>
                <c:pt idx="60">
                  <c:v>11.21963</c:v>
                </c:pt>
                <c:pt idx="61">
                  <c:v>12.017705</c:v>
                </c:pt>
                <c:pt idx="62">
                  <c:v>12.326233</c:v>
                </c:pt>
                <c:pt idx="63">
                  <c:v>12.728101</c:v>
                </c:pt>
                <c:pt idx="64">
                  <c:v>12.486077</c:v>
                </c:pt>
                <c:pt idx="65">
                  <c:v>12.336352</c:v>
                </c:pt>
                <c:pt idx="66">
                  <c:v>11.596981</c:v>
                </c:pt>
                <c:pt idx="67">
                  <c:v>10.490978</c:v>
                </c:pt>
                <c:pt idx="68">
                  <c:v>9.652688</c:v>
                </c:pt>
                <c:pt idx="69">
                  <c:v>10.634894</c:v>
                </c:pt>
                <c:pt idx="70">
                  <c:v>9.52021</c:v>
                </c:pt>
                <c:pt idx="71">
                  <c:v>10.4936075</c:v>
                </c:pt>
                <c:pt idx="72">
                  <c:v>9.436118</c:v>
                </c:pt>
                <c:pt idx="73">
                  <c:v>7.722513</c:v>
                </c:pt>
                <c:pt idx="74">
                  <c:v>8.4100685</c:v>
                </c:pt>
                <c:pt idx="75">
                  <c:v>5.827394</c:v>
                </c:pt>
                <c:pt idx="76">
                  <c:v>6.2531333</c:v>
                </c:pt>
                <c:pt idx="77">
                  <c:v>5.152953</c:v>
                </c:pt>
                <c:pt idx="78">
                  <c:v>4.661152</c:v>
                </c:pt>
                <c:pt idx="79">
                  <c:v>2.8975081</c:v>
                </c:pt>
                <c:pt idx="80">
                  <c:v>1.9065821</c:v>
                </c:pt>
                <c:pt idx="81">
                  <c:v>-0.15050377</c:v>
                </c:pt>
                <c:pt idx="82">
                  <c:v>-0.7425579</c:v>
                </c:pt>
                <c:pt idx="83">
                  <c:v>-2.1232774</c:v>
                </c:pt>
                <c:pt idx="84">
                  <c:v>-3.1668856</c:v>
                </c:pt>
                <c:pt idx="85">
                  <c:v>-3.6621015</c:v>
                </c:pt>
                <c:pt idx="86">
                  <c:v>-4.5742264</c:v>
                </c:pt>
                <c:pt idx="87">
                  <c:v>-6.359037</c:v>
                </c:pt>
                <c:pt idx="88">
                  <c:v>-7.9711137</c:v>
                </c:pt>
                <c:pt idx="89">
                  <c:v>-8.98828</c:v>
                </c:pt>
                <c:pt idx="90">
                  <c:v>-9.237634</c:v>
                </c:pt>
                <c:pt idx="91">
                  <c:v>-11.485889</c:v>
                </c:pt>
                <c:pt idx="92">
                  <c:v>-13.055549</c:v>
                </c:pt>
                <c:pt idx="93">
                  <c:v>-12.7284355</c:v>
                </c:pt>
                <c:pt idx="94">
                  <c:v>-14.573574</c:v>
                </c:pt>
                <c:pt idx="95">
                  <c:v>-14.642226</c:v>
                </c:pt>
                <c:pt idx="96">
                  <c:v>-14.497995</c:v>
                </c:pt>
                <c:pt idx="97">
                  <c:v>-17.445261</c:v>
                </c:pt>
                <c:pt idx="98">
                  <c:v>-16.570902</c:v>
                </c:pt>
                <c:pt idx="99">
                  <c:v>-16.898678</c:v>
                </c:pt>
                <c:pt idx="100">
                  <c:v>-18.114697</c:v>
                </c:pt>
                <c:pt idx="101">
                  <c:v>-18.922144</c:v>
                </c:pt>
                <c:pt idx="102">
                  <c:v>-19.4911</c:v>
                </c:pt>
                <c:pt idx="103">
                  <c:v>-20.266218</c:v>
                </c:pt>
                <c:pt idx="104">
                  <c:v>-19.39473</c:v>
                </c:pt>
                <c:pt idx="105">
                  <c:v>-20.77545</c:v>
                </c:pt>
                <c:pt idx="106">
                  <c:v>-20.602617</c:v>
                </c:pt>
                <c:pt idx="107">
                  <c:v>-20.27619</c:v>
                </c:pt>
              </c:numCache>
            </c:numRef>
          </c:val>
          <c:smooth val="0"/>
        </c:ser>
        <c:ser>
          <c:idx val="7"/>
          <c:order val="7"/>
          <c:tx>
            <c:strRef>
              <c:f>"16 Export"</c:f>
              <c:strCache>
                <c:ptCount val="1"/>
                <c:pt idx="0">
                  <c:v>16 Export</c:v>
                </c:pt>
              </c:strCache>
            </c:strRef>
          </c:tx>
          <c:spPr>
            <a:solidFill>
              <a:srgbClr val="F07B72"/>
            </a:solidFill>
            <a:ln w="19080">
              <a:solidFill>
                <a:srgbClr val="F07B72"/>
              </a:solidFill>
              <a:round/>
            </a:ln>
          </c:spPr>
          <c:marker>
            <c:symbol val="none"/>
          </c:marker>
          <c:dPt>
            <c:idx val="0"/>
            <c:marker>
              <c:symbol val="none"/>
            </c:marker>
          </c:dPt>
          <c:dPt>
            <c:idx val="1"/>
            <c:marker>
              <c:symbol val="none"/>
            </c:marker>
          </c:dPt>
          <c:dLbls>
            <c:dLbl>
              <c:idx val="0"/>
              <c:txPr>
                <a:bodyPr wrap="none"/>
                <a:lstStyle/>
                <a:p>
                  <a:pPr>
                    <a:defRPr sz="1000" b="0" u="none" strike="noStrike">
                      <a:uFillTx/>
                      <a:latin typeface="Arial"/>
                    </a:defRPr>
                  </a:pPr>
                </a:p>
              </c:txPr>
              <c:showLegendKey val="0"/>
              <c:showVal val="0"/>
              <c:showCatName val="0"/>
              <c:showSerName val="0"/>
              <c:showPercent val="0"/>
              <c:separator> </c:separator>
            </c:dLbl>
            <c:dLbl>
              <c:idx val="1"/>
              <c:txPr>
                <a:bodyPr wrap="none"/>
                <a:lstStyle/>
                <a:p>
                  <a:pPr>
                    <a:defRPr sz="1000" b="0" u="none" strike="noStrike">
                      <a:uFillTx/>
                      <a:latin typeface="Arial"/>
                    </a:defRPr>
                  </a:pPr>
                </a:p>
              </c:txPr>
              <c:showLegendKey val="0"/>
              <c:showVal val="0"/>
              <c:showCatName val="0"/>
              <c:showSerName val="0"/>
              <c:showPercent val="0"/>
              <c:separator> </c:separator>
            </c:dLbl>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'Planting Maths'!$O$17:$O$124</c:f>
              <c:numCache>
                <c:formatCode>General</c:formatCode>
                <c:ptCount val="108"/>
                <c:pt idx="0">
                  <c:v>-5.273496</c:v>
                </c:pt>
                <c:pt idx="1">
                  <c:v>-6.099039</c:v>
                </c:pt>
                <c:pt idx="2">
                  <c:v>-3.966759</c:v>
                </c:pt>
                <c:pt idx="3">
                  <c:v>-5.010637</c:v>
                </c:pt>
                <c:pt idx="4">
                  <c:v>-4.686217</c:v>
                </c:pt>
                <c:pt idx="5">
                  <c:v>-4.5814366</c:v>
                </c:pt>
                <c:pt idx="6">
                  <c:v>-5.150031</c:v>
                </c:pt>
                <c:pt idx="7">
                  <c:v>-4.3843427</c:v>
                </c:pt>
                <c:pt idx="8">
                  <c:v>-3.3574955</c:v>
                </c:pt>
                <c:pt idx="9">
                  <c:v>-5.9518194</c:v>
                </c:pt>
                <c:pt idx="10">
                  <c:v>-4.8126225</c:v>
                </c:pt>
                <c:pt idx="11">
                  <c:v>-4.42865</c:v>
                </c:pt>
                <c:pt idx="12">
                  <c:v>-2.8515165</c:v>
                </c:pt>
                <c:pt idx="13">
                  <c:v>-3.141757</c:v>
                </c:pt>
                <c:pt idx="14">
                  <c:v>-3.6006567</c:v>
                </c:pt>
                <c:pt idx="15">
                  <c:v>-2.0451126</c:v>
                </c:pt>
                <c:pt idx="16">
                  <c:v>-1.7971145</c:v>
                </c:pt>
                <c:pt idx="17">
                  <c:v>-1.0622241</c:v>
                </c:pt>
                <c:pt idx="18">
                  <c:v>-1.1235979</c:v>
                </c:pt>
                <c:pt idx="19">
                  <c:v>0.4524167</c:v>
                </c:pt>
                <c:pt idx="20">
                  <c:v>0.5398388</c:v>
                </c:pt>
                <c:pt idx="21">
                  <c:v>2.0664294</c:v>
                </c:pt>
                <c:pt idx="22">
                  <c:v>2.7201445</c:v>
                </c:pt>
                <c:pt idx="23">
                  <c:v>4.482551</c:v>
                </c:pt>
                <c:pt idx="24">
                  <c:v>5.315191</c:v>
                </c:pt>
                <c:pt idx="25">
                  <c:v>4.828752</c:v>
                </c:pt>
                <c:pt idx="26">
                  <c:v>7.1989217</c:v>
                </c:pt>
                <c:pt idx="27">
                  <c:v>8.718765</c:v>
                </c:pt>
                <c:pt idx="28">
                  <c:v>9.154615</c:v>
                </c:pt>
                <c:pt idx="29">
                  <c:v>9.874898</c:v>
                </c:pt>
                <c:pt idx="30">
                  <c:v>11.853586</c:v>
                </c:pt>
                <c:pt idx="31">
                  <c:v>13.492847</c:v>
                </c:pt>
                <c:pt idx="32">
                  <c:v>13.321497</c:v>
                </c:pt>
                <c:pt idx="33">
                  <c:v>16.63224</c:v>
                </c:pt>
                <c:pt idx="34">
                  <c:v>17.31736</c:v>
                </c:pt>
                <c:pt idx="35">
                  <c:v>18.356749</c:v>
                </c:pt>
                <c:pt idx="36">
                  <c:v>18.469675</c:v>
                </c:pt>
                <c:pt idx="37">
                  <c:v>19.591866</c:v>
                </c:pt>
                <c:pt idx="38">
                  <c:v>20.672285</c:v>
                </c:pt>
                <c:pt idx="39">
                  <c:v>21.747538</c:v>
                </c:pt>
                <c:pt idx="40">
                  <c:v>21.446548</c:v>
                </c:pt>
                <c:pt idx="41">
                  <c:v>24.339083</c:v>
                </c:pt>
                <c:pt idx="42">
                  <c:v>24.346977</c:v>
                </c:pt>
                <c:pt idx="43">
                  <c:v>25.951073</c:v>
                </c:pt>
                <c:pt idx="44">
                  <c:v>26.220196</c:v>
                </c:pt>
                <c:pt idx="45">
                  <c:v>27.229103</c:v>
                </c:pt>
                <c:pt idx="46">
                  <c:v>26.788668</c:v>
                </c:pt>
                <c:pt idx="47">
                  <c:v>28.5187</c:v>
                </c:pt>
                <c:pt idx="48">
                  <c:v>29.133307</c:v>
                </c:pt>
                <c:pt idx="49">
                  <c:v>28.710564</c:v>
                </c:pt>
                <c:pt idx="50">
                  <c:v>29.526579</c:v>
                </c:pt>
                <c:pt idx="51">
                  <c:v>29.752785</c:v>
                </c:pt>
                <c:pt idx="52">
                  <c:v>28.80908</c:v>
                </c:pt>
                <c:pt idx="53">
                  <c:v>29.152699</c:v>
                </c:pt>
                <c:pt idx="54">
                  <c:v>29.551317</c:v>
                </c:pt>
                <c:pt idx="55">
                  <c:v>30.175877</c:v>
                </c:pt>
                <c:pt idx="56">
                  <c:v>30.423996</c:v>
                </c:pt>
                <c:pt idx="57">
                  <c:v>29.917013</c:v>
                </c:pt>
                <c:pt idx="58">
                  <c:v>29.497166</c:v>
                </c:pt>
                <c:pt idx="59">
                  <c:v>30.63335</c:v>
                </c:pt>
                <c:pt idx="60">
                  <c:v>29.816645</c:v>
                </c:pt>
                <c:pt idx="61">
                  <c:v>30.772173</c:v>
                </c:pt>
                <c:pt idx="62">
                  <c:v>30.943712</c:v>
                </c:pt>
                <c:pt idx="63">
                  <c:v>29.06123</c:v>
                </c:pt>
                <c:pt idx="64">
                  <c:v>28.634096</c:v>
                </c:pt>
                <c:pt idx="65">
                  <c:v>30.362698</c:v>
                </c:pt>
                <c:pt idx="66">
                  <c:v>27.927063</c:v>
                </c:pt>
                <c:pt idx="67">
                  <c:v>28.238443</c:v>
                </c:pt>
                <c:pt idx="68">
                  <c:v>28.514826</c:v>
                </c:pt>
                <c:pt idx="69">
                  <c:v>28.122015</c:v>
                </c:pt>
                <c:pt idx="70">
                  <c:v>27.906343</c:v>
                </c:pt>
                <c:pt idx="71">
                  <c:v>27.552021</c:v>
                </c:pt>
                <c:pt idx="72">
                  <c:v>26.531216</c:v>
                </c:pt>
                <c:pt idx="73">
                  <c:v>27.014025</c:v>
                </c:pt>
                <c:pt idx="74">
                  <c:v>24.001503</c:v>
                </c:pt>
                <c:pt idx="75">
                  <c:v>24.38113</c:v>
                </c:pt>
                <c:pt idx="76">
                  <c:v>23.272532</c:v>
                </c:pt>
                <c:pt idx="77">
                  <c:v>21.660526</c:v>
                </c:pt>
                <c:pt idx="78">
                  <c:v>21.624052</c:v>
                </c:pt>
                <c:pt idx="79">
                  <c:v>20.947445</c:v>
                </c:pt>
                <c:pt idx="80">
                  <c:v>19.251905</c:v>
                </c:pt>
                <c:pt idx="81">
                  <c:v>18.666437</c:v>
                </c:pt>
                <c:pt idx="82">
                  <c:v>17.203732</c:v>
                </c:pt>
                <c:pt idx="83">
                  <c:v>16.600088</c:v>
                </c:pt>
                <c:pt idx="84">
                  <c:v>13.7121725</c:v>
                </c:pt>
                <c:pt idx="85">
                  <c:v>13.982488</c:v>
                </c:pt>
                <c:pt idx="86">
                  <c:v>11.734963</c:v>
                </c:pt>
                <c:pt idx="87">
                  <c:v>11.628453</c:v>
                </c:pt>
                <c:pt idx="88">
                  <c:v>9.838724</c:v>
                </c:pt>
                <c:pt idx="89">
                  <c:v>9.607053</c:v>
                </c:pt>
                <c:pt idx="90">
                  <c:v>7.6031857</c:v>
                </c:pt>
                <c:pt idx="91">
                  <c:v>6.668641</c:v>
                </c:pt>
                <c:pt idx="92">
                  <c:v>5.184152</c:v>
                </c:pt>
                <c:pt idx="93">
                  <c:v>5.9931073</c:v>
                </c:pt>
                <c:pt idx="94">
                  <c:v>5.1871834</c:v>
                </c:pt>
                <c:pt idx="95">
                  <c:v>2.7065122</c:v>
                </c:pt>
                <c:pt idx="96">
                  <c:v>2.5568643</c:v>
                </c:pt>
                <c:pt idx="97">
                  <c:v>0.8739798</c:v>
                </c:pt>
                <c:pt idx="98">
                  <c:v>0.5613243</c:v>
                </c:pt>
                <c:pt idx="99">
                  <c:v>-0.5521777</c:v>
                </c:pt>
                <c:pt idx="100">
                  <c:v>-0.3999544</c:v>
                </c:pt>
                <c:pt idx="101">
                  <c:v>0.06639548</c:v>
                </c:pt>
                <c:pt idx="102">
                  <c:v>-1.1527618</c:v>
                </c:pt>
                <c:pt idx="103">
                  <c:v>-2.677198</c:v>
                </c:pt>
                <c:pt idx="104">
                  <c:v>-1.7068677</c:v>
                </c:pt>
                <c:pt idx="105">
                  <c:v>-2.7832756</c:v>
                </c:pt>
                <c:pt idx="106">
                  <c:v>-3.1803668</c:v>
                </c:pt>
                <c:pt idx="107">
                  <c:v>-2.2460833</c:v>
                </c:pt>
              </c:numCache>
            </c:numRef>
          </c:val>
          <c:smooth val="0"/>
        </c:ser>
        <c:ser>
          <c:idx val="8"/>
          <c:order val="8"/>
          <c:tx>
            <c:strRef>
              <c:f>"4 Est - Exp"</c:f>
              <c:strCache>
                <c:ptCount val="1"/>
                <c:pt idx="0">
                  <c:v>4 Est - Exp</c:v>
                </c:pt>
              </c:strCache>
            </c:strRef>
          </c:tx>
          <c:spPr>
            <a:solidFill>
              <a:srgbClr val="FCD04F"/>
            </a:solidFill>
            <a:ln w="19080">
              <a:solidFill>
                <a:srgbClr val="FCD04F"/>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'Planting Maths'!$P$17:$P$124</c:f>
              <c:numCache>
                <c:formatCode>General</c:formatCode>
                <c:ptCount val="108"/>
                <c:pt idx="0">
                  <c:v>6.58513206847443</c:v>
                </c:pt>
                <c:pt idx="1">
                  <c:v>5.66891936374728</c:v>
                </c:pt>
                <c:pt idx="2">
                  <c:v>5.52881885794531</c:v>
                </c:pt>
                <c:pt idx="3">
                  <c:v>5.40377442547917</c:v>
                </c:pt>
                <c:pt idx="4">
                  <c:v>7.57794542547917</c:v>
                </c:pt>
                <c:pt idx="5">
                  <c:v>6.02187385794531</c:v>
                </c:pt>
                <c:pt idx="6">
                  <c:v>6.59407436374728</c:v>
                </c:pt>
                <c:pt idx="7">
                  <c:v>6.36662206847443</c:v>
                </c:pt>
                <c:pt idx="8">
                  <c:v>5.42229852700617</c:v>
                </c:pt>
                <c:pt idx="9">
                  <c:v>5.87358668558176</c:v>
                </c:pt>
                <c:pt idx="10">
                  <c:v>6.22008584387008</c:v>
                </c:pt>
                <c:pt idx="11">
                  <c:v>5.45882561703945</c:v>
                </c:pt>
                <c:pt idx="12">
                  <c:v>5.78676589782741</c:v>
                </c:pt>
                <c:pt idx="13">
                  <c:v>6.35573981861054</c:v>
                </c:pt>
                <c:pt idx="14">
                  <c:v>5.40406871347419</c:v>
                </c:pt>
                <c:pt idx="15">
                  <c:v>5.80191308028237</c:v>
                </c:pt>
                <c:pt idx="16">
                  <c:v>5.87256654274744</c:v>
                </c:pt>
                <c:pt idx="17">
                  <c:v>5.9263408125</c:v>
                </c:pt>
                <c:pt idx="18">
                  <c:v>6.5580126511586</c:v>
                </c:pt>
                <c:pt idx="19">
                  <c:v>5.85439383239962</c:v>
                </c:pt>
                <c:pt idx="20">
                  <c:v>5.77191610402694</c:v>
                </c:pt>
                <c:pt idx="21">
                  <c:v>7.5592641500419</c:v>
                </c:pt>
                <c:pt idx="22">
                  <c:v>6.04880855271295</c:v>
                </c:pt>
                <c:pt idx="23">
                  <c:v>6.2883337546455</c:v>
                </c:pt>
                <c:pt idx="24">
                  <c:v>5.16605102085172</c:v>
                </c:pt>
                <c:pt idx="25">
                  <c:v>6.16733840082036</c:v>
                </c:pt>
                <c:pt idx="26">
                  <c:v>5.93773069058644</c:v>
                </c:pt>
                <c:pt idx="27">
                  <c:v>6.16422839480112</c:v>
                </c:pt>
                <c:pt idx="28">
                  <c:v>6.27505368880161</c:v>
                </c:pt>
                <c:pt idx="29">
                  <c:v>5.22814478068065</c:v>
                </c:pt>
                <c:pt idx="30">
                  <c:v>5.99235987335668</c:v>
                </c:pt>
                <c:pt idx="31">
                  <c:v>5.13288962664332</c:v>
                </c:pt>
                <c:pt idx="32">
                  <c:v>5.00778561931934</c:v>
                </c:pt>
                <c:pt idx="33">
                  <c:v>4.73993361119839</c:v>
                </c:pt>
                <c:pt idx="34">
                  <c:v>5.10010160519888</c:v>
                </c:pt>
                <c:pt idx="35">
                  <c:v>5.3983015094136</c:v>
                </c:pt>
                <c:pt idx="36">
                  <c:v>4.26720769917967</c:v>
                </c:pt>
                <c:pt idx="37">
                  <c:v>4.42895547914825</c:v>
                </c:pt>
                <c:pt idx="38">
                  <c:v>5.6511096453545</c:v>
                </c:pt>
                <c:pt idx="39">
                  <c:v>5.57398944728705</c:v>
                </c:pt>
                <c:pt idx="40">
                  <c:v>5.2285655499581</c:v>
                </c:pt>
                <c:pt idx="41">
                  <c:v>4.94725439597306</c:v>
                </c:pt>
                <c:pt idx="42">
                  <c:v>5.25372916760038</c:v>
                </c:pt>
                <c:pt idx="43">
                  <c:v>4.0202663488414</c:v>
                </c:pt>
                <c:pt idx="44">
                  <c:v>4.1613941875</c:v>
                </c:pt>
                <c:pt idx="45">
                  <c:v>2.95956845725256</c:v>
                </c:pt>
                <c:pt idx="46">
                  <c:v>4.71521191971763</c:v>
                </c:pt>
                <c:pt idx="47">
                  <c:v>4.14899528652578</c:v>
                </c:pt>
                <c:pt idx="48">
                  <c:v>3.02568518138945</c:v>
                </c:pt>
                <c:pt idx="49">
                  <c:v>3.20843210217257</c:v>
                </c:pt>
                <c:pt idx="50">
                  <c:v>3.43905338296055</c:v>
                </c:pt>
                <c:pt idx="51">
                  <c:v>3.24219865612992</c:v>
                </c:pt>
                <c:pt idx="52">
                  <c:v>3.22610731441826</c:v>
                </c:pt>
                <c:pt idx="53">
                  <c:v>4.66657147299381</c:v>
                </c:pt>
                <c:pt idx="54">
                  <c:v>4.01560993152557</c:v>
                </c:pt>
                <c:pt idx="55">
                  <c:v>3.07310263625276</c:v>
                </c:pt>
                <c:pt idx="56">
                  <c:v>4.31725914205466</c:v>
                </c:pt>
                <c:pt idx="57">
                  <c:v>2.68497957452087</c:v>
                </c:pt>
                <c:pt idx="58">
                  <c:v>2.80553957452086</c:v>
                </c:pt>
                <c:pt idx="59">
                  <c:v>2.93594714205472</c:v>
                </c:pt>
                <c:pt idx="60">
                  <c:v>4.20031863625272</c:v>
                </c:pt>
                <c:pt idx="61">
                  <c:v>3.35218293152554</c:v>
                </c:pt>
                <c:pt idx="62">
                  <c:v>2.95841447299381</c:v>
                </c:pt>
                <c:pt idx="63">
                  <c:v>2.42883231441826</c:v>
                </c:pt>
                <c:pt idx="64">
                  <c:v>2.49452115612992</c:v>
                </c:pt>
                <c:pt idx="65">
                  <c:v>2.41423838296055</c:v>
                </c:pt>
                <c:pt idx="66">
                  <c:v>2.86592210217257</c:v>
                </c:pt>
                <c:pt idx="67">
                  <c:v>3.62354518138945</c:v>
                </c:pt>
                <c:pt idx="68">
                  <c:v>4.05069228652581</c:v>
                </c:pt>
                <c:pt idx="69">
                  <c:v>2.59340191971763</c:v>
                </c:pt>
                <c:pt idx="70">
                  <c:v>3.16872245725256</c:v>
                </c:pt>
                <c:pt idx="71">
                  <c:v>1.5921346875</c:v>
                </c:pt>
                <c:pt idx="72">
                  <c:v>1.98379834884137</c:v>
                </c:pt>
                <c:pt idx="73">
                  <c:v>2.97082116760035</c:v>
                </c:pt>
                <c:pt idx="74">
                  <c:v>1.49844339597306</c:v>
                </c:pt>
                <c:pt idx="75">
                  <c:v>3.2411578499581</c:v>
                </c:pt>
                <c:pt idx="76">
                  <c:v>1.92395814728705</c:v>
                </c:pt>
                <c:pt idx="77">
                  <c:v>2.0852992453545</c:v>
                </c:pt>
                <c:pt idx="78">
                  <c:v>1.59543697914824</c:v>
                </c:pt>
                <c:pt idx="79">
                  <c:v>2.33953049917964</c:v>
                </c:pt>
                <c:pt idx="80">
                  <c:v>2.2782872094136</c:v>
                </c:pt>
                <c:pt idx="81">
                  <c:v>3.25613337519888</c:v>
                </c:pt>
                <c:pt idx="82">
                  <c:v>2.74765521119842</c:v>
                </c:pt>
                <c:pt idx="83">
                  <c:v>3.01250601931934</c:v>
                </c:pt>
                <c:pt idx="84">
                  <c:v>2.93099272664332</c:v>
                </c:pt>
                <c:pt idx="85">
                  <c:v>2.29799437335668</c:v>
                </c:pt>
                <c:pt idx="86">
                  <c:v>2.08499778068065</c:v>
                </c:pt>
                <c:pt idx="87">
                  <c:v>2.75393968880161</c:v>
                </c:pt>
                <c:pt idx="88">
                  <c:v>3.26548409480112</c:v>
                </c:pt>
                <c:pt idx="89">
                  <c:v>3.20341069058644</c:v>
                </c:pt>
                <c:pt idx="90">
                  <c:v>2.40059540082036</c:v>
                </c:pt>
                <c:pt idx="91">
                  <c:v>3.62930002085175</c:v>
                </c:pt>
                <c:pt idx="92">
                  <c:v>4.2172967546455</c:v>
                </c:pt>
                <c:pt idx="93">
                  <c:v>2.95134405271295</c:v>
                </c:pt>
                <c:pt idx="94">
                  <c:v>3.9050221500419</c:v>
                </c:pt>
                <c:pt idx="95">
                  <c:v>3.13371410402698</c:v>
                </c:pt>
                <c:pt idx="96">
                  <c:v>2.20466083239962</c:v>
                </c:pt>
                <c:pt idx="97">
                  <c:v>4.4253446511586</c:v>
                </c:pt>
                <c:pt idx="98">
                  <c:v>2.8851598125</c:v>
                </c:pt>
                <c:pt idx="99">
                  <c:v>2.60974554274744</c:v>
                </c:pt>
                <c:pt idx="100">
                  <c:v>3.28640108028236</c:v>
                </c:pt>
                <c:pt idx="101">
                  <c:v>3.6187637134742</c:v>
                </c:pt>
                <c:pt idx="102">
                  <c:v>3.77657681861054</c:v>
                </c:pt>
                <c:pt idx="103">
                  <c:v>4.20331489782741</c:v>
                </c:pt>
                <c:pt idx="104">
                  <c:v>3.04413961703945</c:v>
                </c:pt>
                <c:pt idx="105">
                  <c:v>4.19485184387008</c:v>
                </c:pt>
                <c:pt idx="106">
                  <c:v>3.84568368558176</c:v>
                </c:pt>
                <c:pt idx="107">
                  <c:v>3.39154252700617</c:v>
                </c:pt>
              </c:numCache>
            </c:numRef>
          </c:val>
          <c:smooth val="0"/>
        </c:ser>
        <c:ser>
          <c:idx val="9"/>
          <c:order val="9"/>
          <c:tx>
            <c:strRef>
              <c:f>"16 Est -Exp"</c:f>
              <c:strCache>
                <c:ptCount val="1"/>
                <c:pt idx="0">
                  <c:v>16 Est -Exp</c:v>
                </c:pt>
              </c:strCache>
            </c:strRef>
          </c:tx>
          <c:spPr>
            <a:solidFill>
              <a:srgbClr val="71C287"/>
            </a:solidFill>
            <a:ln w="19080">
              <a:solidFill>
                <a:srgbClr val="71C287"/>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'Planting Maths'!$Q$17:$Q$124</c:f>
              <c:numCache>
                <c:formatCode>General</c:formatCode>
                <c:ptCount val="108"/>
                <c:pt idx="0">
                  <c:v>-4.09639193152557</c:v>
                </c:pt>
                <c:pt idx="1">
                  <c:v>-3.32090963625273</c:v>
                </c:pt>
                <c:pt idx="2">
                  <c:v>-5.47656214205469</c:v>
                </c:pt>
                <c:pt idx="3">
                  <c:v>-4.43910857452083</c:v>
                </c:pt>
                <c:pt idx="4">
                  <c:v>-4.76352857452083</c:v>
                </c:pt>
                <c:pt idx="5">
                  <c:v>-4.86188454205469</c:v>
                </c:pt>
                <c:pt idx="6">
                  <c:v>-4.26991763625273</c:v>
                </c:pt>
                <c:pt idx="7">
                  <c:v>-4.98554523152557</c:v>
                </c:pt>
                <c:pt idx="8">
                  <c:v>-5.92715197299383</c:v>
                </c:pt>
                <c:pt idx="9">
                  <c:v>-3.20511391441824</c:v>
                </c:pt>
                <c:pt idx="10">
                  <c:v>-4.16797565612992</c:v>
                </c:pt>
                <c:pt idx="11">
                  <c:v>-4.32194038296055</c:v>
                </c:pt>
                <c:pt idx="12">
                  <c:v>-5.61138660217259</c:v>
                </c:pt>
                <c:pt idx="13">
                  <c:v>-4.97276618138947</c:v>
                </c:pt>
                <c:pt idx="14">
                  <c:v>-4.10272358652581</c:v>
                </c:pt>
                <c:pt idx="15">
                  <c:v>-5.18318331971764</c:v>
                </c:pt>
                <c:pt idx="16">
                  <c:v>-4.89181795725256</c:v>
                </c:pt>
                <c:pt idx="17">
                  <c:v>-5.0235180875</c:v>
                </c:pt>
                <c:pt idx="18">
                  <c:v>-4.2963184488414</c:v>
                </c:pt>
                <c:pt idx="19">
                  <c:v>-5.14575086760038</c:v>
                </c:pt>
                <c:pt idx="20">
                  <c:v>-4.44835069597306</c:v>
                </c:pt>
                <c:pt idx="21">
                  <c:v>-5.1349812499581</c:v>
                </c:pt>
                <c:pt idx="22">
                  <c:v>-4.89723594728705</c:v>
                </c:pt>
                <c:pt idx="23">
                  <c:v>-5.7208032453545</c:v>
                </c:pt>
                <c:pt idx="24">
                  <c:v>-5.57177997914828</c:v>
                </c:pt>
                <c:pt idx="25">
                  <c:v>-4.06579059917964</c:v>
                </c:pt>
                <c:pt idx="26">
                  <c:v>-5.38379100941357</c:v>
                </c:pt>
                <c:pt idx="27">
                  <c:v>-5.82439460519888</c:v>
                </c:pt>
                <c:pt idx="28">
                  <c:v>-5.15971231119839</c:v>
                </c:pt>
                <c:pt idx="29">
                  <c:v>-4.76412661931935</c:v>
                </c:pt>
                <c:pt idx="30">
                  <c:v>-5.61769312664332</c:v>
                </c:pt>
                <c:pt idx="31">
                  <c:v>-6.12873987335668</c:v>
                </c:pt>
                <c:pt idx="32">
                  <c:v>-4.83226838068066</c:v>
                </c:pt>
                <c:pt idx="33">
                  <c:v>-7.02714268880161</c:v>
                </c:pt>
                <c:pt idx="34">
                  <c:v>-6.61173039480112</c:v>
                </c:pt>
                <c:pt idx="35">
                  <c:v>-6.5718796905864</c:v>
                </c:pt>
                <c:pt idx="36">
                  <c:v>-5.63263640082033</c:v>
                </c:pt>
                <c:pt idx="37">
                  <c:v>-5.73527702085175</c:v>
                </c:pt>
                <c:pt idx="38">
                  <c:v>-5.8340327546455</c:v>
                </c:pt>
                <c:pt idx="39">
                  <c:v>-5.97044655271295</c:v>
                </c:pt>
                <c:pt idx="40">
                  <c:v>-4.7779961500419</c:v>
                </c:pt>
                <c:pt idx="41">
                  <c:v>-6.83057110402694</c:v>
                </c:pt>
                <c:pt idx="42">
                  <c:v>-6.05364283239961</c:v>
                </c:pt>
                <c:pt idx="43">
                  <c:v>-6.9311566511586</c:v>
                </c:pt>
                <c:pt idx="44">
                  <c:v>-6.5344538125</c:v>
                </c:pt>
                <c:pt idx="45">
                  <c:v>-6.94017054274744</c:v>
                </c:pt>
                <c:pt idx="46">
                  <c:v>-5.96037208028238</c:v>
                </c:pt>
                <c:pt idx="47">
                  <c:v>-7.21531971347422</c:v>
                </c:pt>
                <c:pt idx="48">
                  <c:v>-7.41878381861054</c:v>
                </c:pt>
                <c:pt idx="49">
                  <c:v>-6.64766089782743</c:v>
                </c:pt>
                <c:pt idx="50">
                  <c:v>-7.17598861703945</c:v>
                </c:pt>
                <c:pt idx="51">
                  <c:v>-7.17218684387008</c:v>
                </c:pt>
                <c:pt idx="52">
                  <c:v>-6.05214668558174</c:v>
                </c:pt>
                <c:pt idx="53">
                  <c:v>-6.26805152700619</c:v>
                </c:pt>
                <c:pt idx="54">
                  <c:v>-6.58142906847443</c:v>
                </c:pt>
                <c:pt idx="55">
                  <c:v>-7.15592836374724</c:v>
                </c:pt>
                <c:pt idx="56">
                  <c:v>-7.38067485794534</c:v>
                </c:pt>
                <c:pt idx="57">
                  <c:v>-6.86726742547914</c:v>
                </c:pt>
                <c:pt idx="58">
                  <c:v>-6.44742042547913</c:v>
                </c:pt>
                <c:pt idx="59">
                  <c:v>-7.59002885794527</c:v>
                </c:pt>
                <c:pt idx="60">
                  <c:v>-6.79669636374728</c:v>
                </c:pt>
                <c:pt idx="61">
                  <c:v>-7.80228506847445</c:v>
                </c:pt>
                <c:pt idx="62">
                  <c:v>-8.05906452700619</c:v>
                </c:pt>
                <c:pt idx="63">
                  <c:v>-6.30429668558173</c:v>
                </c:pt>
                <c:pt idx="64">
                  <c:v>-6.05349784387008</c:v>
                </c:pt>
                <c:pt idx="65">
                  <c:v>-8.01210761703945</c:v>
                </c:pt>
                <c:pt idx="66">
                  <c:v>-5.86415989782743</c:v>
                </c:pt>
                <c:pt idx="67">
                  <c:v>-6.52391981861054</c:v>
                </c:pt>
                <c:pt idx="68">
                  <c:v>-7.21144571347418</c:v>
                </c:pt>
                <c:pt idx="69">
                  <c:v>-7.29371908028238</c:v>
                </c:pt>
                <c:pt idx="70">
                  <c:v>-7.61741054274744</c:v>
                </c:pt>
                <c:pt idx="71">
                  <c:v>-7.8662788125</c:v>
                </c:pt>
                <c:pt idx="72">
                  <c:v>-7.51129965115863</c:v>
                </c:pt>
                <c:pt idx="73">
                  <c:v>-8.72069083239965</c:v>
                </c:pt>
                <c:pt idx="74">
                  <c:v>-6.49299110402694</c:v>
                </c:pt>
                <c:pt idx="75">
                  <c:v>-7.7125781500419</c:v>
                </c:pt>
                <c:pt idx="76">
                  <c:v>-7.49544055271295</c:v>
                </c:pt>
                <c:pt idx="77">
                  <c:v>-6.8222737546455</c:v>
                </c:pt>
                <c:pt idx="78">
                  <c:v>-7.76746302085175</c:v>
                </c:pt>
                <c:pt idx="79">
                  <c:v>-8.11040640082036</c:v>
                </c:pt>
                <c:pt idx="80">
                  <c:v>-7.4670356905864</c:v>
                </c:pt>
                <c:pt idx="81">
                  <c:v>-7.96080739480112</c:v>
                </c:pt>
                <c:pt idx="82">
                  <c:v>-7.59863468880157</c:v>
                </c:pt>
                <c:pt idx="83">
                  <c:v>-8.11085938068066</c:v>
                </c:pt>
                <c:pt idx="84">
                  <c:v>-6.34806537335668</c:v>
                </c:pt>
                <c:pt idx="85">
                  <c:v>-7.74659512664332</c:v>
                </c:pt>
                <c:pt idx="86">
                  <c:v>-6.62419161931935</c:v>
                </c:pt>
                <c:pt idx="87">
                  <c:v>-7.63355031119839</c:v>
                </c:pt>
                <c:pt idx="88">
                  <c:v>-6.94435360519888</c:v>
                </c:pt>
                <c:pt idx="89">
                  <c:v>-7.79192230941357</c:v>
                </c:pt>
                <c:pt idx="90">
                  <c:v>-6.84022429917964</c:v>
                </c:pt>
                <c:pt idx="91">
                  <c:v>-6.92522997914825</c:v>
                </c:pt>
                <c:pt idx="92">
                  <c:v>-6.4224042453545</c:v>
                </c:pt>
                <c:pt idx="93">
                  <c:v>-8.17019874728705</c:v>
                </c:pt>
                <c:pt idx="94">
                  <c:v>-8.2557352499581</c:v>
                </c:pt>
                <c:pt idx="95">
                  <c:v>-6.61502409597303</c:v>
                </c:pt>
                <c:pt idx="96">
                  <c:v>-7.25019846760038</c:v>
                </c:pt>
                <c:pt idx="97">
                  <c:v>-6.2938961488414</c:v>
                </c:pt>
                <c:pt idx="98">
                  <c:v>-6.6470664875</c:v>
                </c:pt>
                <c:pt idx="99">
                  <c:v>-6.13675475725256</c:v>
                </c:pt>
                <c:pt idx="100">
                  <c:v>-6.82834151971764</c:v>
                </c:pt>
                <c:pt idx="101">
                  <c:v>-7.7697757665258</c:v>
                </c:pt>
                <c:pt idx="102">
                  <c:v>-6.96176138138947</c:v>
                </c:pt>
                <c:pt idx="103">
                  <c:v>-5.78570510217259</c:v>
                </c:pt>
                <c:pt idx="104">
                  <c:v>-7.04372268296055</c:v>
                </c:pt>
                <c:pt idx="105">
                  <c:v>-6.19732255612992</c:v>
                </c:pt>
                <c:pt idx="106">
                  <c:v>-5.97656651441824</c:v>
                </c:pt>
                <c:pt idx="107">
                  <c:v>-7.03856417299383</c:v>
                </c:pt>
              </c:numCache>
            </c:numRef>
          </c:val>
          <c:smooth val="0"/>
        </c:ser>
        <c:ser>
          <c:idx val="10"/>
          <c:order val="10"/>
          <c:tx>
            <c:strRef>
              <c:f>"4 Act - Exp"</c:f>
              <c:strCache>
                <c:ptCount val="1"/>
                <c:pt idx="0">
                  <c:v>4 Act - Exp</c:v>
                </c:pt>
              </c:strCache>
            </c:strRef>
          </c:tx>
          <c:spPr>
            <a:solidFill>
              <a:srgbClr val="FF994D"/>
            </a:solidFill>
            <a:ln w="19080">
              <a:solidFill>
                <a:srgbClr val="FF994D"/>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'Planting Maths'!$R$17:$R$124</c:f>
              <c:numCache>
                <c:formatCode>General</c:formatCode>
                <c:ptCount val="108"/>
                <c:pt idx="0">
                  <c:v>7.45502</c:v>
                </c:pt>
                <c:pt idx="1">
                  <c:v>6.488868</c:v>
                </c:pt>
                <c:pt idx="2">
                  <c:v>4.77214</c:v>
                </c:pt>
                <c:pt idx="3">
                  <c:v>5.45352</c:v>
                </c:pt>
                <c:pt idx="4">
                  <c:v>7.127691</c:v>
                </c:pt>
                <c:pt idx="5">
                  <c:v>6.765195</c:v>
                </c:pt>
                <c:pt idx="6">
                  <c:v>6.614023</c:v>
                </c:pt>
                <c:pt idx="7">
                  <c:v>6.53651</c:v>
                </c:pt>
                <c:pt idx="8">
                  <c:v>5.306946</c:v>
                </c:pt>
                <c:pt idx="9">
                  <c:v>5.63052</c:v>
                </c:pt>
                <c:pt idx="10">
                  <c:v>6.800684</c:v>
                </c:pt>
                <c:pt idx="11">
                  <c:v>5.309416</c:v>
                </c:pt>
                <c:pt idx="12">
                  <c:v>5.249669</c:v>
                </c:pt>
                <c:pt idx="13">
                  <c:v>6.470263</c:v>
                </c:pt>
                <c:pt idx="14">
                  <c:v>5.207449</c:v>
                </c:pt>
                <c:pt idx="15">
                  <c:v>5.730209</c:v>
                </c:pt>
                <c:pt idx="16">
                  <c:v>5.761499</c:v>
                </c:pt>
                <c:pt idx="17">
                  <c:v>6.512083</c:v>
                </c:pt>
                <c:pt idx="18">
                  <c:v>7.177929</c:v>
                </c:pt>
                <c:pt idx="19">
                  <c:v>3.747728</c:v>
                </c:pt>
                <c:pt idx="20">
                  <c:v>4.580428</c:v>
                </c:pt>
                <c:pt idx="21">
                  <c:v>7.027816</c:v>
                </c:pt>
                <c:pt idx="22">
                  <c:v>5.1259</c:v>
                </c:pt>
                <c:pt idx="23">
                  <c:v>6.526586</c:v>
                </c:pt>
                <c:pt idx="24">
                  <c:v>5.92264</c:v>
                </c:pt>
                <c:pt idx="25">
                  <c:v>4.804377</c:v>
                </c:pt>
                <c:pt idx="26">
                  <c:v>5.4226</c:v>
                </c:pt>
                <c:pt idx="27">
                  <c:v>4.869858</c:v>
                </c:pt>
                <c:pt idx="28">
                  <c:v>5.880151</c:v>
                </c:pt>
                <c:pt idx="29">
                  <c:v>5.3173734</c:v>
                </c:pt>
                <c:pt idx="30">
                  <c:v>6.456467</c:v>
                </c:pt>
                <c:pt idx="31">
                  <c:v>5.0687825</c:v>
                </c:pt>
                <c:pt idx="32">
                  <c:v>4.718557</c:v>
                </c:pt>
                <c:pt idx="33">
                  <c:v>4.2348363</c:v>
                </c:pt>
                <c:pt idx="34">
                  <c:v>4.494472</c:v>
                </c:pt>
                <c:pt idx="35">
                  <c:v>4.5134322</c:v>
                </c:pt>
                <c:pt idx="36">
                  <c:v>4.5301691</c:v>
                </c:pt>
                <c:pt idx="37">
                  <c:v>2.9723665</c:v>
                </c:pt>
                <c:pt idx="38">
                  <c:v>6.2128574</c:v>
                </c:pt>
                <c:pt idx="39">
                  <c:v>5.396898</c:v>
                </c:pt>
                <c:pt idx="40">
                  <c:v>5.3600137</c:v>
                </c:pt>
                <c:pt idx="41">
                  <c:v>5.8387425</c:v>
                </c:pt>
                <c:pt idx="42">
                  <c:v>5.260395</c:v>
                </c:pt>
                <c:pt idx="43">
                  <c:v>4.90035</c:v>
                </c:pt>
                <c:pt idx="44">
                  <c:v>5.375652</c:v>
                </c:pt>
                <c:pt idx="45">
                  <c:v>4.570636</c:v>
                </c:pt>
                <c:pt idx="46">
                  <c:v>4.286916</c:v>
                </c:pt>
                <c:pt idx="47">
                  <c:v>5.045615</c:v>
                </c:pt>
                <c:pt idx="48">
                  <c:v>4.711162</c:v>
                </c:pt>
                <c:pt idx="49">
                  <c:v>4.545529</c:v>
                </c:pt>
                <c:pt idx="50">
                  <c:v>3.788463</c:v>
                </c:pt>
                <c:pt idx="51">
                  <c:v>4.0616005</c:v>
                </c:pt>
                <c:pt idx="52">
                  <c:v>4.269174</c:v>
                </c:pt>
                <c:pt idx="53">
                  <c:v>5.981924</c:v>
                </c:pt>
                <c:pt idx="54">
                  <c:v>3.745722</c:v>
                </c:pt>
                <c:pt idx="55">
                  <c:v>4.153154</c:v>
                </c:pt>
                <c:pt idx="56">
                  <c:v>5.473938</c:v>
                </c:pt>
                <c:pt idx="57">
                  <c:v>3.735234</c:v>
                </c:pt>
                <c:pt idx="58">
                  <c:v>3.755794</c:v>
                </c:pt>
                <c:pt idx="59">
                  <c:v>3.892626</c:v>
                </c:pt>
                <c:pt idx="60">
                  <c:v>4.48037</c:v>
                </c:pt>
                <c:pt idx="61">
                  <c:v>5.082295</c:v>
                </c:pt>
                <c:pt idx="62">
                  <c:v>3.973767</c:v>
                </c:pt>
                <c:pt idx="63">
                  <c:v>3.171899</c:v>
                </c:pt>
                <c:pt idx="64">
                  <c:v>3.513923</c:v>
                </c:pt>
                <c:pt idx="65">
                  <c:v>2.963648</c:v>
                </c:pt>
                <c:pt idx="66">
                  <c:v>4.303019</c:v>
                </c:pt>
                <c:pt idx="67">
                  <c:v>4.909022</c:v>
                </c:pt>
                <c:pt idx="68">
                  <c:v>6.547312</c:v>
                </c:pt>
                <c:pt idx="69">
                  <c:v>4.165106</c:v>
                </c:pt>
                <c:pt idx="70">
                  <c:v>5.37979</c:v>
                </c:pt>
                <c:pt idx="71">
                  <c:v>2.6063925</c:v>
                </c:pt>
                <c:pt idx="72">
                  <c:v>3.863882</c:v>
                </c:pt>
                <c:pt idx="73">
                  <c:v>4.277487</c:v>
                </c:pt>
                <c:pt idx="74">
                  <c:v>2.8899315</c:v>
                </c:pt>
                <c:pt idx="75">
                  <c:v>4.672606</c:v>
                </c:pt>
                <c:pt idx="76">
                  <c:v>3.7468667</c:v>
                </c:pt>
                <c:pt idx="77">
                  <c:v>3.947047</c:v>
                </c:pt>
                <c:pt idx="78">
                  <c:v>2.938848</c:v>
                </c:pt>
                <c:pt idx="79">
                  <c:v>4.6024919</c:v>
                </c:pt>
                <c:pt idx="80">
                  <c:v>4.0934179</c:v>
                </c:pt>
                <c:pt idx="81">
                  <c:v>3.85050377</c:v>
                </c:pt>
                <c:pt idx="82">
                  <c:v>4.7425579</c:v>
                </c:pt>
                <c:pt idx="83">
                  <c:v>4.1232774</c:v>
                </c:pt>
                <c:pt idx="84">
                  <c:v>3.4668856</c:v>
                </c:pt>
                <c:pt idx="85">
                  <c:v>3.5621015</c:v>
                </c:pt>
                <c:pt idx="86">
                  <c:v>3.1742264</c:v>
                </c:pt>
                <c:pt idx="87">
                  <c:v>4.859037</c:v>
                </c:pt>
                <c:pt idx="88">
                  <c:v>5.4711137</c:v>
                </c:pt>
                <c:pt idx="89">
                  <c:v>4.18828</c:v>
                </c:pt>
                <c:pt idx="90">
                  <c:v>4.337634</c:v>
                </c:pt>
                <c:pt idx="91">
                  <c:v>4.685889</c:v>
                </c:pt>
                <c:pt idx="92">
                  <c:v>5.155549</c:v>
                </c:pt>
                <c:pt idx="93">
                  <c:v>4.3284355</c:v>
                </c:pt>
                <c:pt idx="94">
                  <c:v>4.073574</c:v>
                </c:pt>
                <c:pt idx="95">
                  <c:v>3.342226</c:v>
                </c:pt>
                <c:pt idx="96">
                  <c:v>3.397995</c:v>
                </c:pt>
                <c:pt idx="97">
                  <c:v>6.445261</c:v>
                </c:pt>
                <c:pt idx="98">
                  <c:v>3.370902</c:v>
                </c:pt>
                <c:pt idx="99">
                  <c:v>3.698678</c:v>
                </c:pt>
                <c:pt idx="100">
                  <c:v>3.914697</c:v>
                </c:pt>
                <c:pt idx="101">
                  <c:v>4.322144</c:v>
                </c:pt>
                <c:pt idx="102">
                  <c:v>4.9911</c:v>
                </c:pt>
                <c:pt idx="103">
                  <c:v>4.466218</c:v>
                </c:pt>
                <c:pt idx="104">
                  <c:v>3.19473</c:v>
                </c:pt>
                <c:pt idx="105">
                  <c:v>5.27545</c:v>
                </c:pt>
                <c:pt idx="106">
                  <c:v>4.302617</c:v>
                </c:pt>
                <c:pt idx="107">
                  <c:v>3.27619</c:v>
                </c:pt>
              </c:numCache>
            </c:numRef>
          </c:val>
          <c:smooth val="0"/>
        </c:ser>
        <c:ser>
          <c:idx val="11"/>
          <c:order val="11"/>
          <c:tx>
            <c:strRef>
              <c:f>"16 Act - Exp"</c:f>
              <c:strCache>
                <c:ptCount val="1"/>
                <c:pt idx="0">
                  <c:v>16 Act - Exp</c:v>
                </c:pt>
              </c:strCache>
            </c:strRef>
          </c:tx>
          <c:spPr>
            <a:solidFill>
              <a:srgbClr val="7ED1D7"/>
            </a:solidFill>
            <a:ln w="19080">
              <a:solidFill>
                <a:srgbClr val="7ED1D7"/>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'Planting Maths'!$S$17:$S$124</c:f>
              <c:numCache>
                <c:formatCode>General</c:formatCode>
                <c:ptCount val="108"/>
                <c:pt idx="0">
                  <c:v>-3.526504</c:v>
                </c:pt>
                <c:pt idx="1">
                  <c:v>-2.400961</c:v>
                </c:pt>
                <c:pt idx="2">
                  <c:v>-3.333241</c:v>
                </c:pt>
                <c:pt idx="3">
                  <c:v>-2.589363</c:v>
                </c:pt>
                <c:pt idx="4">
                  <c:v>-4.013783</c:v>
                </c:pt>
                <c:pt idx="5">
                  <c:v>-3.9185634</c:v>
                </c:pt>
                <c:pt idx="6">
                  <c:v>-2.849969</c:v>
                </c:pt>
                <c:pt idx="7">
                  <c:v>-3.4156573</c:v>
                </c:pt>
                <c:pt idx="8">
                  <c:v>-5.0425045</c:v>
                </c:pt>
                <c:pt idx="9">
                  <c:v>-1.9481806</c:v>
                </c:pt>
                <c:pt idx="10">
                  <c:v>-2.5873775</c:v>
                </c:pt>
                <c:pt idx="11">
                  <c:v>-3.47135</c:v>
                </c:pt>
                <c:pt idx="12">
                  <c:v>-3.6484835</c:v>
                </c:pt>
                <c:pt idx="13">
                  <c:v>-2.558243</c:v>
                </c:pt>
                <c:pt idx="14">
                  <c:v>-3.1993433</c:v>
                </c:pt>
                <c:pt idx="15">
                  <c:v>-2.3548874</c:v>
                </c:pt>
                <c:pt idx="16">
                  <c:v>-2.6028855</c:v>
                </c:pt>
                <c:pt idx="17">
                  <c:v>-4.1377759</c:v>
                </c:pt>
                <c:pt idx="18">
                  <c:v>-3.1764021</c:v>
                </c:pt>
                <c:pt idx="19">
                  <c:v>-3.3524167</c:v>
                </c:pt>
                <c:pt idx="20">
                  <c:v>-3.2398388</c:v>
                </c:pt>
                <c:pt idx="21">
                  <c:v>-4.6664294</c:v>
                </c:pt>
                <c:pt idx="22">
                  <c:v>-2.9201445</c:v>
                </c:pt>
                <c:pt idx="23">
                  <c:v>-4.382551</c:v>
                </c:pt>
                <c:pt idx="24">
                  <c:v>-3.515191</c:v>
                </c:pt>
                <c:pt idx="25">
                  <c:v>-3.228752</c:v>
                </c:pt>
                <c:pt idx="26">
                  <c:v>-4.3989217</c:v>
                </c:pt>
                <c:pt idx="27">
                  <c:v>-4.018765</c:v>
                </c:pt>
                <c:pt idx="28">
                  <c:v>-3.854615</c:v>
                </c:pt>
                <c:pt idx="29">
                  <c:v>-2.374898</c:v>
                </c:pt>
                <c:pt idx="30">
                  <c:v>-4.753586</c:v>
                </c:pt>
                <c:pt idx="31">
                  <c:v>-5.392847</c:v>
                </c:pt>
                <c:pt idx="32">
                  <c:v>-4.321497</c:v>
                </c:pt>
                <c:pt idx="33">
                  <c:v>-5.73224</c:v>
                </c:pt>
                <c:pt idx="34">
                  <c:v>-4.81736</c:v>
                </c:pt>
                <c:pt idx="35">
                  <c:v>-3.556749</c:v>
                </c:pt>
                <c:pt idx="36">
                  <c:v>-4.069675</c:v>
                </c:pt>
                <c:pt idx="37">
                  <c:v>-2.991866</c:v>
                </c:pt>
                <c:pt idx="38">
                  <c:v>-3.672285</c:v>
                </c:pt>
                <c:pt idx="39">
                  <c:v>-3.047538</c:v>
                </c:pt>
                <c:pt idx="40">
                  <c:v>-2.546548</c:v>
                </c:pt>
                <c:pt idx="41">
                  <c:v>-5.339083</c:v>
                </c:pt>
                <c:pt idx="42">
                  <c:v>-3.146977</c:v>
                </c:pt>
                <c:pt idx="43">
                  <c:v>-4.951073</c:v>
                </c:pt>
                <c:pt idx="44">
                  <c:v>-3.920196</c:v>
                </c:pt>
                <c:pt idx="45">
                  <c:v>-4.529103</c:v>
                </c:pt>
                <c:pt idx="46">
                  <c:v>-4.288668</c:v>
                </c:pt>
                <c:pt idx="47">
                  <c:v>-4.5187</c:v>
                </c:pt>
                <c:pt idx="48">
                  <c:v>-5.833307</c:v>
                </c:pt>
                <c:pt idx="49">
                  <c:v>-4.210564</c:v>
                </c:pt>
                <c:pt idx="50">
                  <c:v>-4.026579</c:v>
                </c:pt>
                <c:pt idx="51">
                  <c:v>-4.752785</c:v>
                </c:pt>
                <c:pt idx="52">
                  <c:v>-4.40908</c:v>
                </c:pt>
                <c:pt idx="53">
                  <c:v>-4.252699</c:v>
                </c:pt>
                <c:pt idx="54">
                  <c:v>-4.651317</c:v>
                </c:pt>
                <c:pt idx="55">
                  <c:v>-4.475877</c:v>
                </c:pt>
                <c:pt idx="56">
                  <c:v>-3.723996</c:v>
                </c:pt>
                <c:pt idx="57">
                  <c:v>-5.217013</c:v>
                </c:pt>
                <c:pt idx="58">
                  <c:v>-3.997166</c:v>
                </c:pt>
                <c:pt idx="59">
                  <c:v>-5.23335</c:v>
                </c:pt>
                <c:pt idx="60">
                  <c:v>-4.916645</c:v>
                </c:pt>
                <c:pt idx="61">
                  <c:v>-5.772173</c:v>
                </c:pt>
                <c:pt idx="62">
                  <c:v>-4.343712</c:v>
                </c:pt>
                <c:pt idx="63">
                  <c:v>-5.16123</c:v>
                </c:pt>
                <c:pt idx="64">
                  <c:v>-3.634096</c:v>
                </c:pt>
                <c:pt idx="65">
                  <c:v>-6.562698</c:v>
                </c:pt>
                <c:pt idx="66">
                  <c:v>-3.027063</c:v>
                </c:pt>
                <c:pt idx="67">
                  <c:v>-3.138443</c:v>
                </c:pt>
                <c:pt idx="68">
                  <c:v>-5.214826</c:v>
                </c:pt>
                <c:pt idx="69">
                  <c:v>-3.922015</c:v>
                </c:pt>
                <c:pt idx="70">
                  <c:v>-5.606343</c:v>
                </c:pt>
                <c:pt idx="71">
                  <c:v>-5.252021</c:v>
                </c:pt>
                <c:pt idx="72">
                  <c:v>-5.231216</c:v>
                </c:pt>
                <c:pt idx="73">
                  <c:v>-6.114025</c:v>
                </c:pt>
                <c:pt idx="74">
                  <c:v>-3.801503</c:v>
                </c:pt>
                <c:pt idx="75">
                  <c:v>-5.08113</c:v>
                </c:pt>
                <c:pt idx="76">
                  <c:v>-5.672532</c:v>
                </c:pt>
                <c:pt idx="77">
                  <c:v>-3.960526</c:v>
                </c:pt>
                <c:pt idx="78">
                  <c:v>-5.624052</c:v>
                </c:pt>
                <c:pt idx="79">
                  <c:v>-5.747445</c:v>
                </c:pt>
                <c:pt idx="80">
                  <c:v>-4.651905</c:v>
                </c:pt>
                <c:pt idx="81">
                  <c:v>-4.766437</c:v>
                </c:pt>
                <c:pt idx="82">
                  <c:v>-4.603732</c:v>
                </c:pt>
                <c:pt idx="83">
                  <c:v>-6.000088</c:v>
                </c:pt>
                <c:pt idx="84">
                  <c:v>-4.3121725</c:v>
                </c:pt>
                <c:pt idx="85">
                  <c:v>-4.982488</c:v>
                </c:pt>
                <c:pt idx="86">
                  <c:v>-3.234963</c:v>
                </c:pt>
                <c:pt idx="87">
                  <c:v>-5.328453</c:v>
                </c:pt>
                <c:pt idx="88">
                  <c:v>-3.838724</c:v>
                </c:pt>
                <c:pt idx="89">
                  <c:v>-5.407053</c:v>
                </c:pt>
                <c:pt idx="90">
                  <c:v>-4.1031857</c:v>
                </c:pt>
                <c:pt idx="91">
                  <c:v>-4.968641</c:v>
                </c:pt>
                <c:pt idx="92">
                  <c:v>-3.084152</c:v>
                </c:pt>
                <c:pt idx="93">
                  <c:v>-6.0931073</c:v>
                </c:pt>
                <c:pt idx="94">
                  <c:v>-6.6871834</c:v>
                </c:pt>
                <c:pt idx="95">
                  <c:v>-5.4065122</c:v>
                </c:pt>
                <c:pt idx="96">
                  <c:v>-4.2568643</c:v>
                </c:pt>
                <c:pt idx="97">
                  <c:v>-2.8739798</c:v>
                </c:pt>
                <c:pt idx="98">
                  <c:v>-4.8613243</c:v>
                </c:pt>
                <c:pt idx="99">
                  <c:v>-5.4478223</c:v>
                </c:pt>
                <c:pt idx="100">
                  <c:v>-3.9000456</c:v>
                </c:pt>
                <c:pt idx="101">
                  <c:v>-6.16639548</c:v>
                </c:pt>
                <c:pt idx="102">
                  <c:v>-5.4472382</c:v>
                </c:pt>
                <c:pt idx="103">
                  <c:v>-4.122802</c:v>
                </c:pt>
                <c:pt idx="104">
                  <c:v>-4.8931323</c:v>
                </c:pt>
                <c:pt idx="105">
                  <c:v>-5.3167244</c:v>
                </c:pt>
                <c:pt idx="106">
                  <c:v>-4.3196332</c:v>
                </c:pt>
                <c:pt idx="107">
                  <c:v>-4.9539167</c:v>
                </c:pt>
              </c:numCache>
            </c:numRef>
          </c:val>
          <c:smooth val="0"/>
        </c:ser>
        <c:hiLowLines>
          <c:spPr>
            <a:ln w="0">
              <a:noFill/>
            </a:ln>
          </c:spPr>
        </c:hiLowLines>
        <c:marker val="0"/>
        <c:axId val="20800353"/>
        <c:axId val="31839296"/>
      </c:lineChart>
      <c:catAx>
        <c:axId val="20800353"/>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u="none" strike="noStrike">
                <a:solidFill>
                  <a:srgbClr val="000000"/>
                </a:solidFill>
                <a:uFillTx/>
                <a:latin typeface="Arial"/>
                <a:ea typeface="Arial"/>
              </a:defRPr>
            </a:pPr>
          </a:p>
        </c:txPr>
        <c:crossAx val="31839296"/>
        <c:crosses val="autoZero"/>
        <c:auto val="1"/>
        <c:lblAlgn val="ctr"/>
        <c:lblOffset val="100"/>
        <c:noMultiLvlLbl val="0"/>
      </c:catAx>
      <c:valAx>
        <c:axId val="31839296"/>
        <c:scaling>
          <c:orientation val="minMax"/>
          <c:max val="35"/>
        </c:scaling>
        <c:delete val="0"/>
        <c:axPos val="l"/>
        <c:majorGridlines>
          <c:spPr>
            <a:ln w="6480">
              <a:solidFill>
                <a:srgbClr val="B7B7B7"/>
              </a:solidFill>
              <a:round/>
            </a:ln>
          </c:spPr>
        </c:majorGridlines>
        <c:numFmt formatCode="General" sourceLinked="0"/>
        <c:majorTickMark val="none"/>
        <c:minorTickMark val="none"/>
        <c:tickLblPos val="nextTo"/>
        <c:spPr>
          <a:ln w="6480">
            <a:solidFill>
              <a:srgbClr val="8B8B8B"/>
            </a:solidFill>
            <a:round/>
          </a:ln>
        </c:spPr>
        <c:txPr>
          <a:bodyPr/>
          <a:lstStyle/>
          <a:p>
            <a:pPr>
              <a:defRPr sz="1000" b="0" u="none" strike="noStrike">
                <a:solidFill>
                  <a:srgbClr val="000000"/>
                </a:solidFill>
                <a:uFillTx/>
                <a:latin typeface="Arial"/>
                <a:ea typeface="Arial"/>
              </a:defRPr>
            </a:pPr>
          </a:p>
        </c:txPr>
        <c:crossAx val="20800353"/>
        <c:crosses val="autoZero"/>
        <c:crossBetween val="midCat"/>
      </c:valAx>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Arial"/>
              <a:ea typeface="Arial"/>
            </a:defRPr>
          </a:pPr>
        </a:p>
      </c:txPr>
    </c:legend>
    <c:plotVisOnly val="1"/>
    <c:dispBlanksAs val="zero"/>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"4 Estimate"</c:f>
              <c:strCache>
                <c:ptCount val="1"/>
                <c:pt idx="0">
                  <c:v>4 Estimate</c:v>
                </c:pt>
              </c:strCache>
            </c:strRef>
          </c:tx>
          <c:spPr>
            <a:solidFill>
              <a:srgbClr val="6D9EEB"/>
            </a:solidFill>
            <a:ln w="19080">
              <a:solidFill>
                <a:srgbClr val="6D9EE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'Planting Maths'!$G$17:$G$124</c:f>
              <c:numCache>
                <c:formatCode>General</c:formatCode>
                <c:ptCount val="108"/>
                <c:pt idx="0">
                  <c:v>-16.9698879315256</c:v>
                </c:pt>
                <c:pt idx="1">
                  <c:v>-17.0199486362527</c:v>
                </c:pt>
                <c:pt idx="2">
                  <c:v>-17.0433211420547</c:v>
                </c:pt>
                <c:pt idx="3">
                  <c:v>-17.0497455745208</c:v>
                </c:pt>
                <c:pt idx="4">
                  <c:v>-17.0497455745208</c:v>
                </c:pt>
                <c:pt idx="5">
                  <c:v>-17.0433211420547</c:v>
                </c:pt>
                <c:pt idx="6">
                  <c:v>-17.0199486362527</c:v>
                </c:pt>
                <c:pt idx="7">
                  <c:v>-16.9698879315256</c:v>
                </c:pt>
                <c:pt idx="8">
                  <c:v>-16.8846474729938</c:v>
                </c:pt>
                <c:pt idx="9">
                  <c:v>-16.7569333144182</c:v>
                </c:pt>
                <c:pt idx="10">
                  <c:v>-16.5805981561299</c:v>
                </c:pt>
                <c:pt idx="11">
                  <c:v>-16.3505903829605</c:v>
                </c:pt>
                <c:pt idx="12">
                  <c:v>-16.0629031021726</c:v>
                </c:pt>
                <c:pt idx="13">
                  <c:v>-15.7145231813895</c:v>
                </c:pt>
                <c:pt idx="14">
                  <c:v>-15.3033802865258</c:v>
                </c:pt>
                <c:pt idx="15">
                  <c:v>-14.8282959197176</c:v>
                </c:pt>
                <c:pt idx="16">
                  <c:v>-14.2889324572526</c:v>
                </c:pt>
                <c:pt idx="17">
                  <c:v>-13.6857421875</c:v>
                </c:pt>
                <c:pt idx="18">
                  <c:v>-13.0199163488414</c:v>
                </c:pt>
                <c:pt idx="19">
                  <c:v>-12.2933341676004</c:v>
                </c:pt>
                <c:pt idx="20">
                  <c:v>-11.5085118959731</c:v>
                </c:pt>
                <c:pt idx="21">
                  <c:v>-10.6685518499581</c:v>
                </c:pt>
                <c:pt idx="22">
                  <c:v>-9.77709144728705</c:v>
                </c:pt>
                <c:pt idx="23">
                  <c:v>-8.8382522453545</c:v>
                </c:pt>
                <c:pt idx="24">
                  <c:v>-7.85658897914828</c:v>
                </c:pt>
                <c:pt idx="25">
                  <c:v>-6.83703859917964</c:v>
                </c:pt>
                <c:pt idx="26">
                  <c:v>-5.78486930941357</c:v>
                </c:pt>
                <c:pt idx="27">
                  <c:v>-4.70562960519888</c:v>
                </c:pt>
                <c:pt idx="28">
                  <c:v>-3.60509731119839</c:v>
                </c:pt>
                <c:pt idx="29">
                  <c:v>-2.48922861931935</c:v>
                </c:pt>
                <c:pt idx="30">
                  <c:v>-1.36410712664332</c:v>
                </c:pt>
                <c:pt idx="31">
                  <c:v>-0.235892873356678</c:v>
                </c:pt>
                <c:pt idx="32">
                  <c:v>0.889228619319344</c:v>
                </c:pt>
                <c:pt idx="33">
                  <c:v>2.00509731119839</c:v>
                </c:pt>
                <c:pt idx="34">
                  <c:v>3.10562960519888</c:v>
                </c:pt>
                <c:pt idx="35">
                  <c:v>4.1848693094136</c:v>
                </c:pt>
                <c:pt idx="36">
                  <c:v>5.23703859917967</c:v>
                </c:pt>
                <c:pt idx="37">
                  <c:v>6.25658897914825</c:v>
                </c:pt>
                <c:pt idx="38">
                  <c:v>7.2382522453545</c:v>
                </c:pt>
                <c:pt idx="39">
                  <c:v>8.17709144728705</c:v>
                </c:pt>
                <c:pt idx="40">
                  <c:v>9.0685518499581</c:v>
                </c:pt>
                <c:pt idx="41">
                  <c:v>9.90851189597306</c:v>
                </c:pt>
                <c:pt idx="42">
                  <c:v>10.6933341676004</c:v>
                </c:pt>
                <c:pt idx="43">
                  <c:v>11.4199163488414</c:v>
                </c:pt>
                <c:pt idx="44">
                  <c:v>12.0857421875</c:v>
                </c:pt>
                <c:pt idx="45">
                  <c:v>12.6889324572526</c:v>
                </c:pt>
                <c:pt idx="46">
                  <c:v>13.2282959197176</c:v>
                </c:pt>
                <c:pt idx="47">
                  <c:v>13.7033802865258</c:v>
                </c:pt>
                <c:pt idx="48">
                  <c:v>14.1145231813895</c:v>
                </c:pt>
                <c:pt idx="49">
                  <c:v>14.4629031021726</c:v>
                </c:pt>
                <c:pt idx="50">
                  <c:v>14.7505903829606</c:v>
                </c:pt>
                <c:pt idx="51">
                  <c:v>14.9805981561299</c:v>
                </c:pt>
                <c:pt idx="52">
                  <c:v>15.1569333144183</c:v>
                </c:pt>
                <c:pt idx="53">
                  <c:v>15.2846474729938</c:v>
                </c:pt>
                <c:pt idx="54">
                  <c:v>15.3698879315256</c:v>
                </c:pt>
                <c:pt idx="55">
                  <c:v>15.4199486362528</c:v>
                </c:pt>
                <c:pt idx="56">
                  <c:v>15.4433211420547</c:v>
                </c:pt>
                <c:pt idx="57">
                  <c:v>15.4497455745209</c:v>
                </c:pt>
                <c:pt idx="58">
                  <c:v>15.4497455745209</c:v>
                </c:pt>
                <c:pt idx="59">
                  <c:v>15.4433211420547</c:v>
                </c:pt>
                <c:pt idx="60">
                  <c:v>15.4199486362527</c:v>
                </c:pt>
                <c:pt idx="61">
                  <c:v>15.3698879315255</c:v>
                </c:pt>
                <c:pt idx="62">
                  <c:v>15.2846474729938</c:v>
                </c:pt>
                <c:pt idx="63">
                  <c:v>15.1569333144183</c:v>
                </c:pt>
                <c:pt idx="64">
                  <c:v>14.9805981561299</c:v>
                </c:pt>
                <c:pt idx="65">
                  <c:v>14.7505903829606</c:v>
                </c:pt>
                <c:pt idx="66">
                  <c:v>14.4629031021726</c:v>
                </c:pt>
                <c:pt idx="67">
                  <c:v>14.1145231813895</c:v>
                </c:pt>
                <c:pt idx="68">
                  <c:v>13.7033802865258</c:v>
                </c:pt>
                <c:pt idx="69">
                  <c:v>13.2282959197176</c:v>
                </c:pt>
                <c:pt idx="70">
                  <c:v>12.6889324572526</c:v>
                </c:pt>
                <c:pt idx="71">
                  <c:v>12.0857421875</c:v>
                </c:pt>
                <c:pt idx="72">
                  <c:v>11.4199163488414</c:v>
                </c:pt>
                <c:pt idx="73">
                  <c:v>10.6933341676004</c:v>
                </c:pt>
                <c:pt idx="74">
                  <c:v>9.90851189597306</c:v>
                </c:pt>
                <c:pt idx="75">
                  <c:v>9.0685518499581</c:v>
                </c:pt>
                <c:pt idx="76">
                  <c:v>8.17709144728705</c:v>
                </c:pt>
                <c:pt idx="77">
                  <c:v>7.2382522453545</c:v>
                </c:pt>
                <c:pt idx="78">
                  <c:v>6.25658897914825</c:v>
                </c:pt>
                <c:pt idx="79">
                  <c:v>5.23703859917964</c:v>
                </c:pt>
                <c:pt idx="80">
                  <c:v>4.1848693094136</c:v>
                </c:pt>
                <c:pt idx="81">
                  <c:v>3.10562960519888</c:v>
                </c:pt>
                <c:pt idx="82">
                  <c:v>2.00509731119842</c:v>
                </c:pt>
                <c:pt idx="83">
                  <c:v>0.889228619319344</c:v>
                </c:pt>
                <c:pt idx="84">
                  <c:v>-0.235892873356678</c:v>
                </c:pt>
                <c:pt idx="85">
                  <c:v>-1.36410712664332</c:v>
                </c:pt>
                <c:pt idx="86">
                  <c:v>-2.48922861931935</c:v>
                </c:pt>
                <c:pt idx="87">
                  <c:v>-3.60509731119839</c:v>
                </c:pt>
                <c:pt idx="88">
                  <c:v>-4.70562960519888</c:v>
                </c:pt>
                <c:pt idx="89">
                  <c:v>-5.78486930941357</c:v>
                </c:pt>
                <c:pt idx="90">
                  <c:v>-6.83703859917964</c:v>
                </c:pt>
                <c:pt idx="91">
                  <c:v>-7.85658897914825</c:v>
                </c:pt>
                <c:pt idx="92">
                  <c:v>-8.8382522453545</c:v>
                </c:pt>
                <c:pt idx="93">
                  <c:v>-9.77709144728705</c:v>
                </c:pt>
                <c:pt idx="94">
                  <c:v>-10.6685518499581</c:v>
                </c:pt>
                <c:pt idx="95">
                  <c:v>-11.508511895973</c:v>
                </c:pt>
                <c:pt idx="96">
                  <c:v>-12.2933341676004</c:v>
                </c:pt>
                <c:pt idx="97">
                  <c:v>-13.0199163488414</c:v>
                </c:pt>
                <c:pt idx="98">
                  <c:v>-13.6857421875</c:v>
                </c:pt>
                <c:pt idx="99">
                  <c:v>-14.2889324572526</c:v>
                </c:pt>
                <c:pt idx="100">
                  <c:v>-14.8282959197176</c:v>
                </c:pt>
                <c:pt idx="101">
                  <c:v>-15.3033802865258</c:v>
                </c:pt>
                <c:pt idx="102">
                  <c:v>-15.7145231813895</c:v>
                </c:pt>
                <c:pt idx="103">
                  <c:v>-16.0629031021726</c:v>
                </c:pt>
                <c:pt idx="104">
                  <c:v>-16.3505903829605</c:v>
                </c:pt>
                <c:pt idx="105">
                  <c:v>-16.5805981561299</c:v>
                </c:pt>
                <c:pt idx="106">
                  <c:v>-16.7569333144182</c:v>
                </c:pt>
                <c:pt idx="107">
                  <c:v>-16.8846474729938</c:v>
                </c:pt>
              </c:numCache>
            </c:numRef>
          </c:val>
          <c:smooth val="0"/>
        </c:ser>
        <c:ser>
          <c:idx val="1"/>
          <c:order val="1"/>
          <c:tx>
            <c:strRef>
              <c:f>"16 Estmate"</c:f>
              <c:strCache>
                <c:ptCount val="1"/>
                <c:pt idx="0">
                  <c:v>16 Estmate</c:v>
                </c:pt>
              </c:strCache>
            </c:strRef>
          </c:tx>
          <c:spPr>
            <a:solidFill>
              <a:srgbClr val="3C78D8"/>
            </a:solidFill>
            <a:ln w="19080">
              <a:solidFill>
                <a:srgbClr val="3C78D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'Planting Maths'!$H$17:$H$124</c:f>
              <c:numCache>
                <c:formatCode>General</c:formatCode>
                <c:ptCount val="108"/>
                <c:pt idx="0">
                  <c:v>-9.36988793152557</c:v>
                </c:pt>
                <c:pt idx="1">
                  <c:v>-9.41994863625273</c:v>
                </c:pt>
                <c:pt idx="2">
                  <c:v>-9.44332114205469</c:v>
                </c:pt>
                <c:pt idx="3">
                  <c:v>-9.44974557452083</c:v>
                </c:pt>
                <c:pt idx="4">
                  <c:v>-9.44974557452083</c:v>
                </c:pt>
                <c:pt idx="5">
                  <c:v>-9.44332114205469</c:v>
                </c:pt>
                <c:pt idx="6">
                  <c:v>-9.41994863625273</c:v>
                </c:pt>
                <c:pt idx="7">
                  <c:v>-9.36988793152557</c:v>
                </c:pt>
                <c:pt idx="8">
                  <c:v>-9.28464747299383</c:v>
                </c:pt>
                <c:pt idx="9">
                  <c:v>-9.15693331441824</c:v>
                </c:pt>
                <c:pt idx="10">
                  <c:v>-8.98059815612992</c:v>
                </c:pt>
                <c:pt idx="11">
                  <c:v>-8.75059038296055</c:v>
                </c:pt>
                <c:pt idx="12">
                  <c:v>-8.46290310217259</c:v>
                </c:pt>
                <c:pt idx="13">
                  <c:v>-8.11452318138947</c:v>
                </c:pt>
                <c:pt idx="14">
                  <c:v>-7.70338028652581</c:v>
                </c:pt>
                <c:pt idx="15">
                  <c:v>-7.22829591971764</c:v>
                </c:pt>
                <c:pt idx="16">
                  <c:v>-6.68893245725256</c:v>
                </c:pt>
                <c:pt idx="17">
                  <c:v>-6.0857421875</c:v>
                </c:pt>
                <c:pt idx="18">
                  <c:v>-5.4199163488414</c:v>
                </c:pt>
                <c:pt idx="19">
                  <c:v>-4.69333416760038</c:v>
                </c:pt>
                <c:pt idx="20">
                  <c:v>-3.90851189597306</c:v>
                </c:pt>
                <c:pt idx="21">
                  <c:v>-3.0685518499581</c:v>
                </c:pt>
                <c:pt idx="22">
                  <c:v>-2.17709144728705</c:v>
                </c:pt>
                <c:pt idx="23">
                  <c:v>-1.2382522453545</c:v>
                </c:pt>
                <c:pt idx="24">
                  <c:v>-0.256588979148281</c:v>
                </c:pt>
                <c:pt idx="25">
                  <c:v>0.76296140082036</c:v>
                </c:pt>
                <c:pt idx="26">
                  <c:v>1.81513069058644</c:v>
                </c:pt>
                <c:pt idx="27">
                  <c:v>2.89437039480112</c:v>
                </c:pt>
                <c:pt idx="28">
                  <c:v>3.99490268880161</c:v>
                </c:pt>
                <c:pt idx="29">
                  <c:v>5.11077138068065</c:v>
                </c:pt>
                <c:pt idx="30">
                  <c:v>6.23589287335668</c:v>
                </c:pt>
                <c:pt idx="31">
                  <c:v>7.36410712664332</c:v>
                </c:pt>
                <c:pt idx="32">
                  <c:v>8.48922861931935</c:v>
                </c:pt>
                <c:pt idx="33">
                  <c:v>9.60509731119839</c:v>
                </c:pt>
                <c:pt idx="34">
                  <c:v>10.7056296051989</c:v>
                </c:pt>
                <c:pt idx="35">
                  <c:v>11.7848693094136</c:v>
                </c:pt>
                <c:pt idx="36">
                  <c:v>12.8370385991797</c:v>
                </c:pt>
                <c:pt idx="37">
                  <c:v>13.8565889791482</c:v>
                </c:pt>
                <c:pt idx="38">
                  <c:v>14.8382522453545</c:v>
                </c:pt>
                <c:pt idx="39">
                  <c:v>15.777091447287</c:v>
                </c:pt>
                <c:pt idx="40">
                  <c:v>16.6685518499581</c:v>
                </c:pt>
                <c:pt idx="41">
                  <c:v>17.5085118959731</c:v>
                </c:pt>
                <c:pt idx="42">
                  <c:v>18.2933341676004</c:v>
                </c:pt>
                <c:pt idx="43">
                  <c:v>19.0199163488414</c:v>
                </c:pt>
                <c:pt idx="44">
                  <c:v>19.6857421875</c:v>
                </c:pt>
                <c:pt idx="45">
                  <c:v>20.2889324572526</c:v>
                </c:pt>
                <c:pt idx="46">
                  <c:v>20.8282959197176</c:v>
                </c:pt>
                <c:pt idx="47">
                  <c:v>21.3033802865258</c:v>
                </c:pt>
                <c:pt idx="48">
                  <c:v>21.7145231813895</c:v>
                </c:pt>
                <c:pt idx="49">
                  <c:v>22.0629031021726</c:v>
                </c:pt>
                <c:pt idx="50">
                  <c:v>22.3505903829606</c:v>
                </c:pt>
                <c:pt idx="51">
                  <c:v>22.5805981561299</c:v>
                </c:pt>
                <c:pt idx="52">
                  <c:v>22.7569333144183</c:v>
                </c:pt>
                <c:pt idx="53">
                  <c:v>22.8846474729938</c:v>
                </c:pt>
                <c:pt idx="54">
                  <c:v>22.9698879315256</c:v>
                </c:pt>
                <c:pt idx="55">
                  <c:v>23.0199486362528</c:v>
                </c:pt>
                <c:pt idx="56">
                  <c:v>23.0433211420547</c:v>
                </c:pt>
                <c:pt idx="57">
                  <c:v>23.0497455745209</c:v>
                </c:pt>
                <c:pt idx="58">
                  <c:v>23.0497455745209</c:v>
                </c:pt>
                <c:pt idx="59">
                  <c:v>23.0433211420547</c:v>
                </c:pt>
                <c:pt idx="60">
                  <c:v>23.0199486362527</c:v>
                </c:pt>
                <c:pt idx="61">
                  <c:v>22.9698879315255</c:v>
                </c:pt>
                <c:pt idx="62">
                  <c:v>22.8846474729938</c:v>
                </c:pt>
                <c:pt idx="63">
                  <c:v>22.7569333144183</c:v>
                </c:pt>
                <c:pt idx="64">
                  <c:v>22.5805981561299</c:v>
                </c:pt>
                <c:pt idx="65">
                  <c:v>22.3505903829606</c:v>
                </c:pt>
                <c:pt idx="66">
                  <c:v>22.0629031021726</c:v>
                </c:pt>
                <c:pt idx="67">
                  <c:v>21.7145231813895</c:v>
                </c:pt>
                <c:pt idx="68">
                  <c:v>21.3033802865258</c:v>
                </c:pt>
                <c:pt idx="69">
                  <c:v>20.8282959197176</c:v>
                </c:pt>
                <c:pt idx="70">
                  <c:v>20.2889324572526</c:v>
                </c:pt>
                <c:pt idx="71">
                  <c:v>19.6857421875</c:v>
                </c:pt>
                <c:pt idx="72">
                  <c:v>19.0199163488414</c:v>
                </c:pt>
                <c:pt idx="73">
                  <c:v>18.2933341676004</c:v>
                </c:pt>
                <c:pt idx="74">
                  <c:v>17.5085118959731</c:v>
                </c:pt>
                <c:pt idx="75">
                  <c:v>16.6685518499581</c:v>
                </c:pt>
                <c:pt idx="76">
                  <c:v>15.777091447287</c:v>
                </c:pt>
                <c:pt idx="77">
                  <c:v>14.8382522453545</c:v>
                </c:pt>
                <c:pt idx="78">
                  <c:v>13.8565889791482</c:v>
                </c:pt>
                <c:pt idx="79">
                  <c:v>12.8370385991796</c:v>
                </c:pt>
                <c:pt idx="80">
                  <c:v>11.7848693094136</c:v>
                </c:pt>
                <c:pt idx="81">
                  <c:v>10.7056296051989</c:v>
                </c:pt>
                <c:pt idx="82">
                  <c:v>9.60509731119842</c:v>
                </c:pt>
                <c:pt idx="83">
                  <c:v>8.48922861931935</c:v>
                </c:pt>
                <c:pt idx="84">
                  <c:v>7.36410712664332</c:v>
                </c:pt>
                <c:pt idx="85">
                  <c:v>6.23589287335668</c:v>
                </c:pt>
                <c:pt idx="86">
                  <c:v>5.11077138068065</c:v>
                </c:pt>
                <c:pt idx="87">
                  <c:v>3.99490268880161</c:v>
                </c:pt>
                <c:pt idx="88">
                  <c:v>2.89437039480112</c:v>
                </c:pt>
                <c:pt idx="89">
                  <c:v>1.81513069058644</c:v>
                </c:pt>
                <c:pt idx="90">
                  <c:v>0.76296140082036</c:v>
                </c:pt>
                <c:pt idx="91">
                  <c:v>-0.256588979148249</c:v>
                </c:pt>
                <c:pt idx="92">
                  <c:v>-1.2382522453545</c:v>
                </c:pt>
                <c:pt idx="93">
                  <c:v>-2.17709144728705</c:v>
                </c:pt>
                <c:pt idx="94">
                  <c:v>-3.0685518499581</c:v>
                </c:pt>
                <c:pt idx="95">
                  <c:v>-3.90851189597303</c:v>
                </c:pt>
                <c:pt idx="96">
                  <c:v>-4.69333416760038</c:v>
                </c:pt>
                <c:pt idx="97">
                  <c:v>-5.4199163488414</c:v>
                </c:pt>
                <c:pt idx="98">
                  <c:v>-6.0857421875</c:v>
                </c:pt>
                <c:pt idx="99">
                  <c:v>-6.68893245725256</c:v>
                </c:pt>
                <c:pt idx="100">
                  <c:v>-7.22829591971764</c:v>
                </c:pt>
                <c:pt idx="101">
                  <c:v>-7.7033802865258</c:v>
                </c:pt>
                <c:pt idx="102">
                  <c:v>-8.11452318138947</c:v>
                </c:pt>
                <c:pt idx="103">
                  <c:v>-8.46290310217259</c:v>
                </c:pt>
                <c:pt idx="104">
                  <c:v>-8.75059038296055</c:v>
                </c:pt>
                <c:pt idx="105">
                  <c:v>-8.98059815612992</c:v>
                </c:pt>
                <c:pt idx="106">
                  <c:v>-9.15693331441824</c:v>
                </c:pt>
                <c:pt idx="107">
                  <c:v>-9.28464747299383</c:v>
                </c:pt>
              </c:numCache>
            </c:numRef>
          </c:val>
          <c:smooth val="0"/>
        </c:ser>
        <c:ser>
          <c:idx val="2"/>
          <c:order val="2"/>
          <c:tx>
            <c:strRef>
              <c:f>"4 Actual"</c:f>
              <c:strCache>
                <c:ptCount val="1"/>
                <c:pt idx="0">
                  <c:v>4 Actual</c:v>
                </c:pt>
              </c:strCache>
            </c:strRef>
          </c:tx>
          <c:spPr>
            <a:solidFill>
              <a:srgbClr val="93C47D"/>
            </a:solidFill>
            <a:ln w="19080">
              <a:solidFill>
                <a:srgbClr val="93C47D"/>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'Planting Maths'!$J$17:$J$124</c:f>
              <c:numCache>
                <c:formatCode>General</c:formatCode>
                <c:ptCount val="108"/>
                <c:pt idx="0">
                  <c:v>-16.1</c:v>
                </c:pt>
                <c:pt idx="1">
                  <c:v>-16.2</c:v>
                </c:pt>
                <c:pt idx="2">
                  <c:v>-17.8</c:v>
                </c:pt>
                <c:pt idx="3">
                  <c:v>-17</c:v>
                </c:pt>
                <c:pt idx="4">
                  <c:v>-17.5</c:v>
                </c:pt>
                <c:pt idx="5">
                  <c:v>-16.3</c:v>
                </c:pt>
                <c:pt idx="6">
                  <c:v>-17</c:v>
                </c:pt>
                <c:pt idx="7">
                  <c:v>-16.8</c:v>
                </c:pt>
                <c:pt idx="8">
                  <c:v>-17</c:v>
                </c:pt>
                <c:pt idx="9">
                  <c:v>-17</c:v>
                </c:pt>
                <c:pt idx="10">
                  <c:v>-16</c:v>
                </c:pt>
                <c:pt idx="11">
                  <c:v>-16.5</c:v>
                </c:pt>
                <c:pt idx="12">
                  <c:v>-16.6</c:v>
                </c:pt>
                <c:pt idx="13">
                  <c:v>-15.6</c:v>
                </c:pt>
                <c:pt idx="14">
                  <c:v>-15.5</c:v>
                </c:pt>
                <c:pt idx="15">
                  <c:v>-14.9</c:v>
                </c:pt>
                <c:pt idx="16">
                  <c:v>-14.4</c:v>
                </c:pt>
                <c:pt idx="17">
                  <c:v>-13.1</c:v>
                </c:pt>
                <c:pt idx="18">
                  <c:v>-12.4</c:v>
                </c:pt>
                <c:pt idx="19">
                  <c:v>-14.4</c:v>
                </c:pt>
                <c:pt idx="20">
                  <c:v>-12.7</c:v>
                </c:pt>
                <c:pt idx="21">
                  <c:v>-11.2</c:v>
                </c:pt>
                <c:pt idx="22">
                  <c:v>-10.7</c:v>
                </c:pt>
                <c:pt idx="23">
                  <c:v>-8.6</c:v>
                </c:pt>
                <c:pt idx="24">
                  <c:v>-7.1</c:v>
                </c:pt>
                <c:pt idx="25">
                  <c:v>-8.2</c:v>
                </c:pt>
                <c:pt idx="26">
                  <c:v>-6.3</c:v>
                </c:pt>
                <c:pt idx="27">
                  <c:v>-6</c:v>
                </c:pt>
                <c:pt idx="28">
                  <c:v>-4</c:v>
                </c:pt>
                <c:pt idx="29">
                  <c:v>-2.4</c:v>
                </c:pt>
                <c:pt idx="30">
                  <c:v>-0.9</c:v>
                </c:pt>
                <c:pt idx="31">
                  <c:v>-0.3</c:v>
                </c:pt>
                <c:pt idx="32">
                  <c:v>0.6</c:v>
                </c:pt>
                <c:pt idx="33">
                  <c:v>1.5</c:v>
                </c:pt>
                <c:pt idx="34">
                  <c:v>2.5</c:v>
                </c:pt>
                <c:pt idx="35">
                  <c:v>3.3</c:v>
                </c:pt>
                <c:pt idx="36">
                  <c:v>5.5</c:v>
                </c:pt>
                <c:pt idx="37">
                  <c:v>4.8</c:v>
                </c:pt>
                <c:pt idx="38">
                  <c:v>7.8</c:v>
                </c:pt>
                <c:pt idx="39">
                  <c:v>8</c:v>
                </c:pt>
                <c:pt idx="40">
                  <c:v>9.2</c:v>
                </c:pt>
                <c:pt idx="41">
                  <c:v>10.8</c:v>
                </c:pt>
                <c:pt idx="42">
                  <c:v>10.7</c:v>
                </c:pt>
                <c:pt idx="43">
                  <c:v>12.3</c:v>
                </c:pt>
                <c:pt idx="44">
                  <c:v>13.3</c:v>
                </c:pt>
                <c:pt idx="45">
                  <c:v>14.3</c:v>
                </c:pt>
                <c:pt idx="46">
                  <c:v>12.8</c:v>
                </c:pt>
                <c:pt idx="47">
                  <c:v>14.6</c:v>
                </c:pt>
                <c:pt idx="48">
                  <c:v>15.8</c:v>
                </c:pt>
                <c:pt idx="49">
                  <c:v>15.8</c:v>
                </c:pt>
                <c:pt idx="50">
                  <c:v>15.1</c:v>
                </c:pt>
                <c:pt idx="51">
                  <c:v>15.8</c:v>
                </c:pt>
                <c:pt idx="52">
                  <c:v>16.2</c:v>
                </c:pt>
                <c:pt idx="53">
                  <c:v>16.6</c:v>
                </c:pt>
                <c:pt idx="54">
                  <c:v>15.1</c:v>
                </c:pt>
                <c:pt idx="55">
                  <c:v>16.5</c:v>
                </c:pt>
                <c:pt idx="56">
                  <c:v>16.6</c:v>
                </c:pt>
                <c:pt idx="57">
                  <c:v>16.5</c:v>
                </c:pt>
                <c:pt idx="58">
                  <c:v>16.4</c:v>
                </c:pt>
                <c:pt idx="59">
                  <c:v>16.4</c:v>
                </c:pt>
                <c:pt idx="60">
                  <c:v>15.7</c:v>
                </c:pt>
                <c:pt idx="61">
                  <c:v>17.1</c:v>
                </c:pt>
                <c:pt idx="62">
                  <c:v>16.3</c:v>
                </c:pt>
                <c:pt idx="63">
                  <c:v>15.9</c:v>
                </c:pt>
                <c:pt idx="64">
                  <c:v>16</c:v>
                </c:pt>
                <c:pt idx="65">
                  <c:v>15.3</c:v>
                </c:pt>
                <c:pt idx="66">
                  <c:v>15.9</c:v>
                </c:pt>
                <c:pt idx="67">
                  <c:v>15.4</c:v>
                </c:pt>
                <c:pt idx="68">
                  <c:v>16.2</c:v>
                </c:pt>
                <c:pt idx="69">
                  <c:v>14.8</c:v>
                </c:pt>
                <c:pt idx="70">
                  <c:v>14.9</c:v>
                </c:pt>
                <c:pt idx="71">
                  <c:v>13.1</c:v>
                </c:pt>
                <c:pt idx="72">
                  <c:v>13.3</c:v>
                </c:pt>
                <c:pt idx="73">
                  <c:v>12</c:v>
                </c:pt>
                <c:pt idx="74">
                  <c:v>11.3</c:v>
                </c:pt>
                <c:pt idx="75">
                  <c:v>10.5</c:v>
                </c:pt>
                <c:pt idx="76">
                  <c:v>10</c:v>
                </c:pt>
                <c:pt idx="77">
                  <c:v>9.1</c:v>
                </c:pt>
                <c:pt idx="78">
                  <c:v>7.6</c:v>
                </c:pt>
                <c:pt idx="79">
                  <c:v>7.5</c:v>
                </c:pt>
                <c:pt idx="80">
                  <c:v>6</c:v>
                </c:pt>
                <c:pt idx="81">
                  <c:v>3.7</c:v>
                </c:pt>
                <c:pt idx="82">
                  <c:v>4</c:v>
                </c:pt>
                <c:pt idx="83">
                  <c:v>2</c:v>
                </c:pt>
                <c:pt idx="84">
                  <c:v>0.3</c:v>
                </c:pt>
                <c:pt idx="85">
                  <c:v>-0.1</c:v>
                </c:pt>
                <c:pt idx="86">
                  <c:v>-1.4</c:v>
                </c:pt>
                <c:pt idx="87">
                  <c:v>-1.5</c:v>
                </c:pt>
                <c:pt idx="88">
                  <c:v>-2.5</c:v>
                </c:pt>
                <c:pt idx="89">
                  <c:v>-4.8</c:v>
                </c:pt>
                <c:pt idx="90">
                  <c:v>-4.9</c:v>
                </c:pt>
                <c:pt idx="91">
                  <c:v>-6.8</c:v>
                </c:pt>
                <c:pt idx="92">
                  <c:v>-7.9</c:v>
                </c:pt>
                <c:pt idx="93">
                  <c:v>-8.4</c:v>
                </c:pt>
                <c:pt idx="94">
                  <c:v>-10.5</c:v>
                </c:pt>
                <c:pt idx="95">
                  <c:v>-11.3</c:v>
                </c:pt>
                <c:pt idx="96">
                  <c:v>-11.1</c:v>
                </c:pt>
                <c:pt idx="97">
                  <c:v>-11</c:v>
                </c:pt>
                <c:pt idx="98">
                  <c:v>-13.2</c:v>
                </c:pt>
                <c:pt idx="99">
                  <c:v>-13.2</c:v>
                </c:pt>
                <c:pt idx="100">
                  <c:v>-14.2</c:v>
                </c:pt>
                <c:pt idx="101">
                  <c:v>-14.6</c:v>
                </c:pt>
                <c:pt idx="102">
                  <c:v>-14.5</c:v>
                </c:pt>
                <c:pt idx="103">
                  <c:v>-15.8</c:v>
                </c:pt>
                <c:pt idx="104">
                  <c:v>-16.2</c:v>
                </c:pt>
                <c:pt idx="105">
                  <c:v>-15.5</c:v>
                </c:pt>
                <c:pt idx="106">
                  <c:v>-16.3</c:v>
                </c:pt>
                <c:pt idx="107">
                  <c:v>-17</c:v>
                </c:pt>
              </c:numCache>
            </c:numRef>
          </c:val>
          <c:smooth val="0"/>
        </c:ser>
        <c:ser>
          <c:idx val="3"/>
          <c:order val="3"/>
          <c:tx>
            <c:strRef>
              <c:f>"16 Actual"</c:f>
              <c:strCache>
                <c:ptCount val="1"/>
                <c:pt idx="0">
                  <c:v>16 Actual</c:v>
                </c:pt>
              </c:strCache>
            </c:strRef>
          </c:tx>
          <c:spPr>
            <a:solidFill>
              <a:srgbClr val="6AA84F"/>
            </a:solidFill>
            <a:ln w="19080">
              <a:solidFill>
                <a:srgbClr val="6AA84F"/>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'Planting Maths'!$K$17:$K$124</c:f>
              <c:numCache>
                <c:formatCode>General</c:formatCode>
                <c:ptCount val="108"/>
                <c:pt idx="0">
                  <c:v>-8.8</c:v>
                </c:pt>
                <c:pt idx="1">
                  <c:v>-8.5</c:v>
                </c:pt>
                <c:pt idx="2">
                  <c:v>-7.3</c:v>
                </c:pt>
                <c:pt idx="3">
                  <c:v>-7.6</c:v>
                </c:pt>
                <c:pt idx="4">
                  <c:v>-8.7</c:v>
                </c:pt>
                <c:pt idx="5">
                  <c:v>-8.5</c:v>
                </c:pt>
                <c:pt idx="6">
                  <c:v>-8</c:v>
                </c:pt>
                <c:pt idx="7">
                  <c:v>-7.8</c:v>
                </c:pt>
                <c:pt idx="8">
                  <c:v>-8.4</c:v>
                </c:pt>
                <c:pt idx="9">
                  <c:v>-7.9</c:v>
                </c:pt>
                <c:pt idx="10">
                  <c:v>-7.4</c:v>
                </c:pt>
                <c:pt idx="11">
                  <c:v>-7.9</c:v>
                </c:pt>
                <c:pt idx="12">
                  <c:v>-6.5</c:v>
                </c:pt>
                <c:pt idx="13">
                  <c:v>-5.7</c:v>
                </c:pt>
                <c:pt idx="14">
                  <c:v>-6.8</c:v>
                </c:pt>
                <c:pt idx="15">
                  <c:v>-4.4</c:v>
                </c:pt>
                <c:pt idx="16">
                  <c:v>-4.4</c:v>
                </c:pt>
                <c:pt idx="17">
                  <c:v>-5.2</c:v>
                </c:pt>
                <c:pt idx="18">
                  <c:v>-4.3</c:v>
                </c:pt>
                <c:pt idx="19">
                  <c:v>-2.9</c:v>
                </c:pt>
                <c:pt idx="20">
                  <c:v>-2.7</c:v>
                </c:pt>
                <c:pt idx="21">
                  <c:v>-2.6</c:v>
                </c:pt>
                <c:pt idx="22">
                  <c:v>-0.2</c:v>
                </c:pt>
                <c:pt idx="23">
                  <c:v>0.1</c:v>
                </c:pt>
                <c:pt idx="24">
                  <c:v>1.8</c:v>
                </c:pt>
                <c:pt idx="25">
                  <c:v>1.6</c:v>
                </c:pt>
                <c:pt idx="26">
                  <c:v>2.8</c:v>
                </c:pt>
                <c:pt idx="27">
                  <c:v>4.7</c:v>
                </c:pt>
                <c:pt idx="28">
                  <c:v>5.3</c:v>
                </c:pt>
                <c:pt idx="29">
                  <c:v>7.5</c:v>
                </c:pt>
                <c:pt idx="30">
                  <c:v>7.1</c:v>
                </c:pt>
                <c:pt idx="31">
                  <c:v>8.1</c:v>
                </c:pt>
                <c:pt idx="32">
                  <c:v>9</c:v>
                </c:pt>
                <c:pt idx="33">
                  <c:v>10.9</c:v>
                </c:pt>
                <c:pt idx="34">
                  <c:v>12.5</c:v>
                </c:pt>
                <c:pt idx="35">
                  <c:v>14.8</c:v>
                </c:pt>
                <c:pt idx="36">
                  <c:v>14.4</c:v>
                </c:pt>
                <c:pt idx="37">
                  <c:v>16.6</c:v>
                </c:pt>
                <c:pt idx="38">
                  <c:v>17</c:v>
                </c:pt>
                <c:pt idx="39">
                  <c:v>18.7</c:v>
                </c:pt>
                <c:pt idx="40">
                  <c:v>18.9</c:v>
                </c:pt>
                <c:pt idx="41">
                  <c:v>19</c:v>
                </c:pt>
                <c:pt idx="42">
                  <c:v>21.2</c:v>
                </c:pt>
                <c:pt idx="43">
                  <c:v>21</c:v>
                </c:pt>
                <c:pt idx="44">
                  <c:v>22.3</c:v>
                </c:pt>
                <c:pt idx="45">
                  <c:v>22.7</c:v>
                </c:pt>
                <c:pt idx="46">
                  <c:v>22.5</c:v>
                </c:pt>
                <c:pt idx="47">
                  <c:v>24</c:v>
                </c:pt>
                <c:pt idx="48">
                  <c:v>23.3</c:v>
                </c:pt>
                <c:pt idx="49">
                  <c:v>24.5</c:v>
                </c:pt>
                <c:pt idx="50">
                  <c:v>25.5</c:v>
                </c:pt>
                <c:pt idx="51">
                  <c:v>25</c:v>
                </c:pt>
                <c:pt idx="52">
                  <c:v>24.4</c:v>
                </c:pt>
                <c:pt idx="53">
                  <c:v>24.9</c:v>
                </c:pt>
                <c:pt idx="54">
                  <c:v>24.9</c:v>
                </c:pt>
                <c:pt idx="55">
                  <c:v>25.7</c:v>
                </c:pt>
                <c:pt idx="56">
                  <c:v>26.7</c:v>
                </c:pt>
                <c:pt idx="57">
                  <c:v>24.7</c:v>
                </c:pt>
                <c:pt idx="58">
                  <c:v>25.5</c:v>
                </c:pt>
                <c:pt idx="59">
                  <c:v>25.4</c:v>
                </c:pt>
                <c:pt idx="60">
                  <c:v>24.9</c:v>
                </c:pt>
                <c:pt idx="61">
                  <c:v>25</c:v>
                </c:pt>
                <c:pt idx="62">
                  <c:v>26.6</c:v>
                </c:pt>
                <c:pt idx="63">
                  <c:v>23.9</c:v>
                </c:pt>
                <c:pt idx="64">
                  <c:v>25</c:v>
                </c:pt>
                <c:pt idx="65">
                  <c:v>23.8</c:v>
                </c:pt>
                <c:pt idx="66">
                  <c:v>24.9</c:v>
                </c:pt>
                <c:pt idx="67">
                  <c:v>25.1</c:v>
                </c:pt>
                <c:pt idx="68">
                  <c:v>23.3</c:v>
                </c:pt>
                <c:pt idx="69">
                  <c:v>24.2</c:v>
                </c:pt>
                <c:pt idx="70">
                  <c:v>22.3</c:v>
                </c:pt>
                <c:pt idx="71">
                  <c:v>22.3</c:v>
                </c:pt>
                <c:pt idx="72">
                  <c:v>21.3</c:v>
                </c:pt>
                <c:pt idx="73">
                  <c:v>20.9</c:v>
                </c:pt>
                <c:pt idx="74">
                  <c:v>20.2</c:v>
                </c:pt>
                <c:pt idx="75">
                  <c:v>19.3</c:v>
                </c:pt>
                <c:pt idx="76">
                  <c:v>17.6</c:v>
                </c:pt>
                <c:pt idx="77">
                  <c:v>17.7</c:v>
                </c:pt>
                <c:pt idx="78">
                  <c:v>16</c:v>
                </c:pt>
                <c:pt idx="79">
                  <c:v>15.2</c:v>
                </c:pt>
                <c:pt idx="80">
                  <c:v>14.6</c:v>
                </c:pt>
                <c:pt idx="81">
                  <c:v>13.9</c:v>
                </c:pt>
                <c:pt idx="82">
                  <c:v>12.6</c:v>
                </c:pt>
                <c:pt idx="83">
                  <c:v>10.6</c:v>
                </c:pt>
                <c:pt idx="84">
                  <c:v>9.4</c:v>
                </c:pt>
                <c:pt idx="85">
                  <c:v>9</c:v>
                </c:pt>
                <c:pt idx="86">
                  <c:v>8.5</c:v>
                </c:pt>
                <c:pt idx="87">
                  <c:v>6.3</c:v>
                </c:pt>
                <c:pt idx="88">
                  <c:v>6</c:v>
                </c:pt>
                <c:pt idx="89">
                  <c:v>4.2</c:v>
                </c:pt>
                <c:pt idx="90">
                  <c:v>3.5</c:v>
                </c:pt>
                <c:pt idx="91">
                  <c:v>1.7</c:v>
                </c:pt>
                <c:pt idx="92">
                  <c:v>2.1</c:v>
                </c:pt>
                <c:pt idx="93">
                  <c:v>-0.1</c:v>
                </c:pt>
                <c:pt idx="94">
                  <c:v>-1.5</c:v>
                </c:pt>
                <c:pt idx="95">
                  <c:v>-2.7</c:v>
                </c:pt>
                <c:pt idx="96">
                  <c:v>-1.7</c:v>
                </c:pt>
                <c:pt idx="97">
                  <c:v>-2</c:v>
                </c:pt>
                <c:pt idx="98">
                  <c:v>-4.3</c:v>
                </c:pt>
                <c:pt idx="99">
                  <c:v>-6</c:v>
                </c:pt>
                <c:pt idx="100">
                  <c:v>-4.3</c:v>
                </c:pt>
                <c:pt idx="101">
                  <c:v>-6.1</c:v>
                </c:pt>
                <c:pt idx="102">
                  <c:v>-6.6</c:v>
                </c:pt>
                <c:pt idx="103">
                  <c:v>-6.8</c:v>
                </c:pt>
                <c:pt idx="104">
                  <c:v>-6.6</c:v>
                </c:pt>
                <c:pt idx="105">
                  <c:v>-8.1</c:v>
                </c:pt>
                <c:pt idx="106">
                  <c:v>-7.5</c:v>
                </c:pt>
                <c:pt idx="107">
                  <c:v>-7.2</c:v>
                </c:pt>
              </c:numCache>
            </c:numRef>
          </c:val>
          <c:smooth val="0"/>
        </c:ser>
        <c:ser>
          <c:idx val="4"/>
          <c:order val="4"/>
          <c:tx>
            <c:strRef>
              <c:f>"4 Export"</c:f>
              <c:strCache>
                <c:ptCount val="1"/>
                <c:pt idx="0">
                  <c:v>4 Export</c:v>
                </c:pt>
              </c:strCache>
            </c:strRef>
          </c:tx>
          <c:spPr>
            <a:solidFill>
              <a:srgbClr val="E06666"/>
            </a:solidFill>
            <a:ln w="19080">
              <a:solidFill>
                <a:srgbClr val="E06666"/>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'Planting Maths'!$N$17:$N$124</c:f>
              <c:numCache>
                <c:formatCode>General</c:formatCode>
                <c:ptCount val="108"/>
                <c:pt idx="0">
                  <c:v>-23.55502</c:v>
                </c:pt>
                <c:pt idx="1">
                  <c:v>-22.688868</c:v>
                </c:pt>
                <c:pt idx="2">
                  <c:v>-22.57214</c:v>
                </c:pt>
                <c:pt idx="3">
                  <c:v>-22.45352</c:v>
                </c:pt>
                <c:pt idx="4">
                  <c:v>-24.627691</c:v>
                </c:pt>
                <c:pt idx="5">
                  <c:v>-23.065195</c:v>
                </c:pt>
                <c:pt idx="6">
                  <c:v>-23.614023</c:v>
                </c:pt>
                <c:pt idx="7">
                  <c:v>-23.33651</c:v>
                </c:pt>
                <c:pt idx="8">
                  <c:v>-22.306946</c:v>
                </c:pt>
                <c:pt idx="9">
                  <c:v>-22.63052</c:v>
                </c:pt>
                <c:pt idx="10">
                  <c:v>-22.800684</c:v>
                </c:pt>
                <c:pt idx="11">
                  <c:v>-21.809416</c:v>
                </c:pt>
                <c:pt idx="12">
                  <c:v>-21.849669</c:v>
                </c:pt>
                <c:pt idx="13">
                  <c:v>-22.070263</c:v>
                </c:pt>
                <c:pt idx="14">
                  <c:v>-20.707449</c:v>
                </c:pt>
                <c:pt idx="15">
                  <c:v>-20.630209</c:v>
                </c:pt>
                <c:pt idx="16">
                  <c:v>-20.161499</c:v>
                </c:pt>
                <c:pt idx="17">
                  <c:v>-19.612083</c:v>
                </c:pt>
                <c:pt idx="18">
                  <c:v>-19.577929</c:v>
                </c:pt>
                <c:pt idx="19">
                  <c:v>-18.147728</c:v>
                </c:pt>
                <c:pt idx="20">
                  <c:v>-17.280428</c:v>
                </c:pt>
                <c:pt idx="21">
                  <c:v>-18.227816</c:v>
                </c:pt>
                <c:pt idx="22">
                  <c:v>-15.8259</c:v>
                </c:pt>
                <c:pt idx="23">
                  <c:v>-15.126586</c:v>
                </c:pt>
                <c:pt idx="24">
                  <c:v>-13.02264</c:v>
                </c:pt>
                <c:pt idx="25">
                  <c:v>-13.004377</c:v>
                </c:pt>
                <c:pt idx="26">
                  <c:v>-11.7226</c:v>
                </c:pt>
                <c:pt idx="27">
                  <c:v>-10.869858</c:v>
                </c:pt>
                <c:pt idx="28">
                  <c:v>-9.880151</c:v>
                </c:pt>
                <c:pt idx="29">
                  <c:v>-7.7173734</c:v>
                </c:pt>
                <c:pt idx="30">
                  <c:v>-7.356467</c:v>
                </c:pt>
                <c:pt idx="31">
                  <c:v>-5.3687825</c:v>
                </c:pt>
                <c:pt idx="32">
                  <c:v>-4.118557</c:v>
                </c:pt>
                <c:pt idx="33">
                  <c:v>-2.7348363</c:v>
                </c:pt>
                <c:pt idx="34">
                  <c:v>-1.994472</c:v>
                </c:pt>
                <c:pt idx="35">
                  <c:v>-1.2134322</c:v>
                </c:pt>
                <c:pt idx="36">
                  <c:v>0.9698309</c:v>
                </c:pt>
                <c:pt idx="37">
                  <c:v>1.8276335</c:v>
                </c:pt>
                <c:pt idx="38">
                  <c:v>1.5871426</c:v>
                </c:pt>
                <c:pt idx="39">
                  <c:v>2.603102</c:v>
                </c:pt>
                <c:pt idx="40">
                  <c:v>3.8399863</c:v>
                </c:pt>
                <c:pt idx="41">
                  <c:v>4.9612575</c:v>
                </c:pt>
                <c:pt idx="42">
                  <c:v>5.439605</c:v>
                </c:pt>
                <c:pt idx="43">
                  <c:v>7.39965</c:v>
                </c:pt>
                <c:pt idx="44">
                  <c:v>7.924348</c:v>
                </c:pt>
                <c:pt idx="45">
                  <c:v>9.729364</c:v>
                </c:pt>
                <c:pt idx="46">
                  <c:v>8.513084</c:v>
                </c:pt>
                <c:pt idx="47">
                  <c:v>9.554385</c:v>
                </c:pt>
                <c:pt idx="48">
                  <c:v>11.088838</c:v>
                </c:pt>
                <c:pt idx="49">
                  <c:v>11.254471</c:v>
                </c:pt>
                <c:pt idx="50">
                  <c:v>11.311537</c:v>
                </c:pt>
                <c:pt idx="51">
                  <c:v>11.7383995</c:v>
                </c:pt>
                <c:pt idx="52">
                  <c:v>11.930826</c:v>
                </c:pt>
                <c:pt idx="53">
                  <c:v>10.618076</c:v>
                </c:pt>
                <c:pt idx="54">
                  <c:v>11.354278</c:v>
                </c:pt>
                <c:pt idx="55">
                  <c:v>12.346846</c:v>
                </c:pt>
                <c:pt idx="56">
                  <c:v>11.126062</c:v>
                </c:pt>
                <c:pt idx="57">
                  <c:v>12.764766</c:v>
                </c:pt>
                <c:pt idx="58">
                  <c:v>12.644206</c:v>
                </c:pt>
                <c:pt idx="59">
                  <c:v>12.507374</c:v>
                </c:pt>
                <c:pt idx="60">
                  <c:v>11.21963</c:v>
                </c:pt>
                <c:pt idx="61">
                  <c:v>12.017705</c:v>
                </c:pt>
                <c:pt idx="62">
                  <c:v>12.326233</c:v>
                </c:pt>
                <c:pt idx="63">
                  <c:v>12.728101</c:v>
                </c:pt>
                <c:pt idx="64">
                  <c:v>12.486077</c:v>
                </c:pt>
                <c:pt idx="65">
                  <c:v>12.336352</c:v>
                </c:pt>
                <c:pt idx="66">
                  <c:v>11.596981</c:v>
                </c:pt>
                <c:pt idx="67">
                  <c:v>10.490978</c:v>
                </c:pt>
                <c:pt idx="68">
                  <c:v>9.652688</c:v>
                </c:pt>
                <c:pt idx="69">
                  <c:v>10.634894</c:v>
                </c:pt>
                <c:pt idx="70">
                  <c:v>9.52021</c:v>
                </c:pt>
                <c:pt idx="71">
                  <c:v>10.4936075</c:v>
                </c:pt>
                <c:pt idx="72">
                  <c:v>9.436118</c:v>
                </c:pt>
                <c:pt idx="73">
                  <c:v>7.722513</c:v>
                </c:pt>
                <c:pt idx="74">
                  <c:v>8.4100685</c:v>
                </c:pt>
                <c:pt idx="75">
                  <c:v>5.827394</c:v>
                </c:pt>
                <c:pt idx="76">
                  <c:v>6.2531333</c:v>
                </c:pt>
                <c:pt idx="77">
                  <c:v>5.152953</c:v>
                </c:pt>
                <c:pt idx="78">
                  <c:v>4.661152</c:v>
                </c:pt>
                <c:pt idx="79">
                  <c:v>2.8975081</c:v>
                </c:pt>
                <c:pt idx="80">
                  <c:v>1.9065821</c:v>
                </c:pt>
                <c:pt idx="81">
                  <c:v>-0.15050377</c:v>
                </c:pt>
                <c:pt idx="82">
                  <c:v>-0.7425579</c:v>
                </c:pt>
                <c:pt idx="83">
                  <c:v>-2.1232774</c:v>
                </c:pt>
                <c:pt idx="84">
                  <c:v>-3.1668856</c:v>
                </c:pt>
                <c:pt idx="85">
                  <c:v>-3.6621015</c:v>
                </c:pt>
                <c:pt idx="86">
                  <c:v>-4.5742264</c:v>
                </c:pt>
                <c:pt idx="87">
                  <c:v>-6.359037</c:v>
                </c:pt>
                <c:pt idx="88">
                  <c:v>-7.9711137</c:v>
                </c:pt>
                <c:pt idx="89">
                  <c:v>-8.98828</c:v>
                </c:pt>
                <c:pt idx="90">
                  <c:v>-9.237634</c:v>
                </c:pt>
                <c:pt idx="91">
                  <c:v>-11.485889</c:v>
                </c:pt>
                <c:pt idx="92">
                  <c:v>-13.055549</c:v>
                </c:pt>
                <c:pt idx="93">
                  <c:v>-12.7284355</c:v>
                </c:pt>
                <c:pt idx="94">
                  <c:v>-14.573574</c:v>
                </c:pt>
                <c:pt idx="95">
                  <c:v>-14.642226</c:v>
                </c:pt>
                <c:pt idx="96">
                  <c:v>-14.497995</c:v>
                </c:pt>
                <c:pt idx="97">
                  <c:v>-17.445261</c:v>
                </c:pt>
                <c:pt idx="98">
                  <c:v>-16.570902</c:v>
                </c:pt>
                <c:pt idx="99">
                  <c:v>-16.898678</c:v>
                </c:pt>
                <c:pt idx="100">
                  <c:v>-18.114697</c:v>
                </c:pt>
                <c:pt idx="101">
                  <c:v>-18.922144</c:v>
                </c:pt>
                <c:pt idx="102">
                  <c:v>-19.4911</c:v>
                </c:pt>
                <c:pt idx="103">
                  <c:v>-20.266218</c:v>
                </c:pt>
                <c:pt idx="104">
                  <c:v>-19.39473</c:v>
                </c:pt>
                <c:pt idx="105">
                  <c:v>-20.77545</c:v>
                </c:pt>
                <c:pt idx="106">
                  <c:v>-20.602617</c:v>
                </c:pt>
                <c:pt idx="107">
                  <c:v>-20.27619</c:v>
                </c:pt>
              </c:numCache>
            </c:numRef>
          </c:val>
          <c:smooth val="0"/>
        </c:ser>
        <c:ser>
          <c:idx val="5"/>
          <c:order val="5"/>
          <c:tx>
            <c:strRef>
              <c:f>"16 Export"</c:f>
              <c:strCache>
                <c:ptCount val="1"/>
                <c:pt idx="0">
                  <c:v>16 Export</c:v>
                </c:pt>
              </c:strCache>
            </c:strRef>
          </c:tx>
          <c:spPr>
            <a:solidFill>
              <a:srgbClr val="CC0000"/>
            </a:solidFill>
            <a:ln w="19080">
              <a:solidFill>
                <a:srgbClr val="CC0000"/>
              </a:solidFill>
              <a:round/>
            </a:ln>
          </c:spPr>
          <c:marker>
            <c:symbol val="none"/>
          </c:marker>
          <c:dPt>
            <c:idx val="73"/>
            <c:marker>
              <c:symbol val="none"/>
            </c:marker>
          </c:dPt>
          <c:dLbls>
            <c:dLbl>
              <c:idx val="73"/>
              <c:txPr>
                <a:bodyPr wrap="none"/>
                <a:lstStyle/>
                <a:p>
                  <a:pPr>
                    <a:defRPr sz="1000" b="0" u="none" strike="noStrike">
                      <a:uFillTx/>
                      <a:latin typeface="Arial"/>
                    </a:defRPr>
                  </a:pPr>
                </a:p>
              </c:txPr>
              <c:showLegendKey val="0"/>
              <c:showVal val="0"/>
              <c:showCatName val="0"/>
              <c:showSerName val="0"/>
              <c:showPercent val="0"/>
              <c:separator> </c:separator>
            </c:dLbl>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'Planting Maths'!$O$17:$O$124</c:f>
              <c:numCache>
                <c:formatCode>General</c:formatCode>
                <c:ptCount val="108"/>
                <c:pt idx="0">
                  <c:v>-5.273496</c:v>
                </c:pt>
                <c:pt idx="1">
                  <c:v>-6.099039</c:v>
                </c:pt>
                <c:pt idx="2">
                  <c:v>-3.966759</c:v>
                </c:pt>
                <c:pt idx="3">
                  <c:v>-5.010637</c:v>
                </c:pt>
                <c:pt idx="4">
                  <c:v>-4.686217</c:v>
                </c:pt>
                <c:pt idx="5">
                  <c:v>-4.5814366</c:v>
                </c:pt>
                <c:pt idx="6">
                  <c:v>-5.150031</c:v>
                </c:pt>
                <c:pt idx="7">
                  <c:v>-4.3843427</c:v>
                </c:pt>
                <c:pt idx="8">
                  <c:v>-3.3574955</c:v>
                </c:pt>
                <c:pt idx="9">
                  <c:v>-5.9518194</c:v>
                </c:pt>
                <c:pt idx="10">
                  <c:v>-4.8126225</c:v>
                </c:pt>
                <c:pt idx="11">
                  <c:v>-4.42865</c:v>
                </c:pt>
                <c:pt idx="12">
                  <c:v>-2.8515165</c:v>
                </c:pt>
                <c:pt idx="13">
                  <c:v>-3.141757</c:v>
                </c:pt>
                <c:pt idx="14">
                  <c:v>-3.6006567</c:v>
                </c:pt>
                <c:pt idx="15">
                  <c:v>-2.0451126</c:v>
                </c:pt>
                <c:pt idx="16">
                  <c:v>-1.7971145</c:v>
                </c:pt>
                <c:pt idx="17">
                  <c:v>-1.0622241</c:v>
                </c:pt>
                <c:pt idx="18">
                  <c:v>-1.1235979</c:v>
                </c:pt>
                <c:pt idx="19">
                  <c:v>0.4524167</c:v>
                </c:pt>
                <c:pt idx="20">
                  <c:v>0.5398388</c:v>
                </c:pt>
                <c:pt idx="21">
                  <c:v>2.0664294</c:v>
                </c:pt>
                <c:pt idx="22">
                  <c:v>2.7201445</c:v>
                </c:pt>
                <c:pt idx="23">
                  <c:v>4.482551</c:v>
                </c:pt>
                <c:pt idx="24">
                  <c:v>5.315191</c:v>
                </c:pt>
                <c:pt idx="25">
                  <c:v>4.828752</c:v>
                </c:pt>
                <c:pt idx="26">
                  <c:v>7.1989217</c:v>
                </c:pt>
                <c:pt idx="27">
                  <c:v>8.718765</c:v>
                </c:pt>
                <c:pt idx="28">
                  <c:v>9.154615</c:v>
                </c:pt>
                <c:pt idx="29">
                  <c:v>9.874898</c:v>
                </c:pt>
                <c:pt idx="30">
                  <c:v>11.853586</c:v>
                </c:pt>
                <c:pt idx="31">
                  <c:v>13.492847</c:v>
                </c:pt>
                <c:pt idx="32">
                  <c:v>13.321497</c:v>
                </c:pt>
                <c:pt idx="33">
                  <c:v>16.63224</c:v>
                </c:pt>
                <c:pt idx="34">
                  <c:v>17.31736</c:v>
                </c:pt>
                <c:pt idx="35">
                  <c:v>18.356749</c:v>
                </c:pt>
                <c:pt idx="36">
                  <c:v>18.469675</c:v>
                </c:pt>
                <c:pt idx="37">
                  <c:v>19.591866</c:v>
                </c:pt>
                <c:pt idx="38">
                  <c:v>20.672285</c:v>
                </c:pt>
                <c:pt idx="39">
                  <c:v>21.747538</c:v>
                </c:pt>
                <c:pt idx="40">
                  <c:v>21.446548</c:v>
                </c:pt>
                <c:pt idx="41">
                  <c:v>24.339083</c:v>
                </c:pt>
                <c:pt idx="42">
                  <c:v>24.346977</c:v>
                </c:pt>
                <c:pt idx="43">
                  <c:v>25.951073</c:v>
                </c:pt>
                <c:pt idx="44">
                  <c:v>26.220196</c:v>
                </c:pt>
                <c:pt idx="45">
                  <c:v>27.229103</c:v>
                </c:pt>
                <c:pt idx="46">
                  <c:v>26.788668</c:v>
                </c:pt>
                <c:pt idx="47">
                  <c:v>28.5187</c:v>
                </c:pt>
                <c:pt idx="48">
                  <c:v>29.133307</c:v>
                </c:pt>
                <c:pt idx="49">
                  <c:v>28.710564</c:v>
                </c:pt>
                <c:pt idx="50">
                  <c:v>29.526579</c:v>
                </c:pt>
                <c:pt idx="51">
                  <c:v>29.752785</c:v>
                </c:pt>
                <c:pt idx="52">
                  <c:v>28.80908</c:v>
                </c:pt>
                <c:pt idx="53">
                  <c:v>29.152699</c:v>
                </c:pt>
                <c:pt idx="54">
                  <c:v>29.551317</c:v>
                </c:pt>
                <c:pt idx="55">
                  <c:v>30.175877</c:v>
                </c:pt>
                <c:pt idx="56">
                  <c:v>30.423996</c:v>
                </c:pt>
                <c:pt idx="57">
                  <c:v>29.917013</c:v>
                </c:pt>
                <c:pt idx="58">
                  <c:v>29.497166</c:v>
                </c:pt>
                <c:pt idx="59">
                  <c:v>30.63335</c:v>
                </c:pt>
                <c:pt idx="60">
                  <c:v>29.816645</c:v>
                </c:pt>
                <c:pt idx="61">
                  <c:v>30.772173</c:v>
                </c:pt>
                <c:pt idx="62">
                  <c:v>30.943712</c:v>
                </c:pt>
                <c:pt idx="63">
                  <c:v>29.06123</c:v>
                </c:pt>
                <c:pt idx="64">
                  <c:v>28.634096</c:v>
                </c:pt>
                <c:pt idx="65">
                  <c:v>30.362698</c:v>
                </c:pt>
                <c:pt idx="66">
                  <c:v>27.927063</c:v>
                </c:pt>
                <c:pt idx="67">
                  <c:v>28.238443</c:v>
                </c:pt>
                <c:pt idx="68">
                  <c:v>28.514826</c:v>
                </c:pt>
                <c:pt idx="69">
                  <c:v>28.122015</c:v>
                </c:pt>
                <c:pt idx="70">
                  <c:v>27.906343</c:v>
                </c:pt>
                <c:pt idx="71">
                  <c:v>27.552021</c:v>
                </c:pt>
                <c:pt idx="72">
                  <c:v>26.531216</c:v>
                </c:pt>
                <c:pt idx="73">
                  <c:v>27.014025</c:v>
                </c:pt>
                <c:pt idx="74">
                  <c:v>24.001503</c:v>
                </c:pt>
                <c:pt idx="75">
                  <c:v>24.38113</c:v>
                </c:pt>
                <c:pt idx="76">
                  <c:v>23.272532</c:v>
                </c:pt>
                <c:pt idx="77">
                  <c:v>21.660526</c:v>
                </c:pt>
                <c:pt idx="78">
                  <c:v>21.624052</c:v>
                </c:pt>
                <c:pt idx="79">
                  <c:v>20.947445</c:v>
                </c:pt>
                <c:pt idx="80">
                  <c:v>19.251905</c:v>
                </c:pt>
                <c:pt idx="81">
                  <c:v>18.666437</c:v>
                </c:pt>
                <c:pt idx="82">
                  <c:v>17.203732</c:v>
                </c:pt>
                <c:pt idx="83">
                  <c:v>16.600088</c:v>
                </c:pt>
                <c:pt idx="84">
                  <c:v>13.7121725</c:v>
                </c:pt>
                <c:pt idx="85">
                  <c:v>13.982488</c:v>
                </c:pt>
                <c:pt idx="86">
                  <c:v>11.734963</c:v>
                </c:pt>
                <c:pt idx="87">
                  <c:v>11.628453</c:v>
                </c:pt>
                <c:pt idx="88">
                  <c:v>9.838724</c:v>
                </c:pt>
                <c:pt idx="89">
                  <c:v>9.607053</c:v>
                </c:pt>
                <c:pt idx="90">
                  <c:v>7.6031857</c:v>
                </c:pt>
                <c:pt idx="91">
                  <c:v>6.668641</c:v>
                </c:pt>
                <c:pt idx="92">
                  <c:v>5.184152</c:v>
                </c:pt>
                <c:pt idx="93">
                  <c:v>5.9931073</c:v>
                </c:pt>
                <c:pt idx="94">
                  <c:v>5.1871834</c:v>
                </c:pt>
                <c:pt idx="95">
                  <c:v>2.7065122</c:v>
                </c:pt>
                <c:pt idx="96">
                  <c:v>2.5568643</c:v>
                </c:pt>
                <c:pt idx="97">
                  <c:v>0.8739798</c:v>
                </c:pt>
                <c:pt idx="98">
                  <c:v>0.5613243</c:v>
                </c:pt>
                <c:pt idx="99">
                  <c:v>-0.5521777</c:v>
                </c:pt>
                <c:pt idx="100">
                  <c:v>-0.3999544</c:v>
                </c:pt>
                <c:pt idx="101">
                  <c:v>0.06639548</c:v>
                </c:pt>
                <c:pt idx="102">
                  <c:v>-1.1527618</c:v>
                </c:pt>
                <c:pt idx="103">
                  <c:v>-2.677198</c:v>
                </c:pt>
                <c:pt idx="104">
                  <c:v>-1.7068677</c:v>
                </c:pt>
                <c:pt idx="105">
                  <c:v>-2.7832756</c:v>
                </c:pt>
                <c:pt idx="106">
                  <c:v>-3.1803668</c:v>
                </c:pt>
                <c:pt idx="107">
                  <c:v>-2.2460833</c:v>
                </c:pt>
              </c:numCache>
            </c:numRef>
          </c:val>
          <c:smooth val="0"/>
        </c:ser>
        <c:hiLowLines>
          <c:spPr>
            <a:ln w="0">
              <a:noFill/>
            </a:ln>
          </c:spPr>
        </c:hiLowLines>
        <c:marker val="0"/>
        <c:axId val="40106939"/>
        <c:axId val="89066718"/>
      </c:lineChart>
      <c:catAx>
        <c:axId val="40106939"/>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u="none" strike="noStrike">
                <a:solidFill>
                  <a:srgbClr val="000000"/>
                </a:solidFill>
                <a:uFillTx/>
                <a:latin typeface="Arial"/>
                <a:ea typeface="Arial"/>
              </a:defRPr>
            </a:pPr>
          </a:p>
        </c:txPr>
        <c:crossAx val="89066718"/>
        <c:crosses val="autoZero"/>
        <c:auto val="1"/>
        <c:lblAlgn val="ctr"/>
        <c:lblOffset val="100"/>
        <c:noMultiLvlLbl val="0"/>
      </c:catAx>
      <c:valAx>
        <c:axId val="89066718"/>
        <c:scaling>
          <c:orientation val="minMax"/>
          <c:max val="35"/>
        </c:scaling>
        <c:delete val="0"/>
        <c:axPos val="l"/>
        <c:majorGridlines>
          <c:spPr>
            <a:ln w="6480">
              <a:solidFill>
                <a:srgbClr val="B7B7B7"/>
              </a:solidFill>
              <a:round/>
            </a:ln>
          </c:spPr>
        </c:majorGridlines>
        <c:numFmt formatCode="General" sourceLinked="0"/>
        <c:majorTickMark val="none"/>
        <c:minorTickMark val="none"/>
        <c:tickLblPos val="nextTo"/>
        <c:spPr>
          <a:ln w="6480">
            <a:solidFill>
              <a:srgbClr val="8B8B8B"/>
            </a:solidFill>
            <a:round/>
          </a:ln>
        </c:spPr>
        <c:txPr>
          <a:bodyPr/>
          <a:lstStyle/>
          <a:p>
            <a:pPr>
              <a:defRPr sz="1000" b="0" u="none" strike="noStrike">
                <a:solidFill>
                  <a:srgbClr val="000000"/>
                </a:solidFill>
                <a:uFillTx/>
                <a:latin typeface="Arial"/>
                <a:ea typeface="Arial"/>
              </a:defRPr>
            </a:pPr>
          </a:p>
        </c:txPr>
        <c:crossAx val="40106939"/>
        <c:crosses val="autoZero"/>
        <c:crossBetween val="midCat"/>
      </c:valAx>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Arial"/>
              <a:ea typeface="Arial"/>
            </a:defRPr>
          </a:pPr>
        </a:p>
      </c:txPr>
    </c:legend>
    <c:plotVisOnly val="1"/>
    <c:dispBlanksAs val="zero"/>
  </c:chart>
  <c:spPr>
    <a:solidFill>
      <a:srgbClr val="FFFFFF"/>
    </a:solidFill>
    <a:ln w="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spPr>
            <a:solidFill>
              <a:srgbClr val="4285F4"/>
            </a:solidFill>
            <a:ln w="19080">
              <a:solidFill>
                <a:srgbClr val="4285F4"/>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'Planting Maths'!$K$138:$K$311</c:f>
              <c:numCache>
                <c:formatCode>General</c:formatCode>
                <c:ptCount val="174"/>
                <c:pt idx="0">
                  <c:v>-9.9</c:v>
                </c:pt>
                <c:pt idx="1">
                  <c:v>-10.9</c:v>
                </c:pt>
                <c:pt idx="2">
                  <c:v>-11</c:v>
                </c:pt>
                <c:pt idx="3">
                  <c:v>-10.7</c:v>
                </c:pt>
                <c:pt idx="4">
                  <c:v>-9.3</c:v>
                </c:pt>
                <c:pt idx="5">
                  <c:v>-6.8</c:v>
                </c:pt>
                <c:pt idx="6">
                  <c:v>-9.5</c:v>
                </c:pt>
                <c:pt idx="7">
                  <c:v>-12.5</c:v>
                </c:pt>
                <c:pt idx="8">
                  <c:v>-14.2</c:v>
                </c:pt>
                <c:pt idx="9">
                  <c:v>-12.5</c:v>
                </c:pt>
                <c:pt idx="10">
                  <c:v>-12.5</c:v>
                </c:pt>
                <c:pt idx="11">
                  <c:v>-12.1</c:v>
                </c:pt>
                <c:pt idx="12">
                  <c:v>-11.2</c:v>
                </c:pt>
                <c:pt idx="13">
                  <c:v>-10.6</c:v>
                </c:pt>
                <c:pt idx="14">
                  <c:v>-12.1</c:v>
                </c:pt>
                <c:pt idx="15">
                  <c:v>-12.9</c:v>
                </c:pt>
                <c:pt idx="16">
                  <c:v>-13</c:v>
                </c:pt>
                <c:pt idx="17">
                  <c:v>-11.1</c:v>
                </c:pt>
                <c:pt idx="18">
                  <c:v>-10.6</c:v>
                </c:pt>
                <c:pt idx="19">
                  <c:v>-10.7</c:v>
                </c:pt>
                <c:pt idx="20">
                  <c:v>-9.7</c:v>
                </c:pt>
                <c:pt idx="21">
                  <c:v>-10.5</c:v>
                </c:pt>
                <c:pt idx="22">
                  <c:v>-13.9</c:v>
                </c:pt>
                <c:pt idx="23">
                  <c:v>-17.4</c:v>
                </c:pt>
                <c:pt idx="24">
                  <c:v>-15.5</c:v>
                </c:pt>
                <c:pt idx="25">
                  <c:v>-14.1</c:v>
                </c:pt>
                <c:pt idx="26">
                  <c:v>-11.9</c:v>
                </c:pt>
                <c:pt idx="27">
                  <c:v>-11.3</c:v>
                </c:pt>
                <c:pt idx="28">
                  <c:v>-10.4</c:v>
                </c:pt>
                <c:pt idx="29">
                  <c:v>-9.7</c:v>
                </c:pt>
                <c:pt idx="30">
                  <c:v>-12</c:v>
                </c:pt>
                <c:pt idx="31">
                  <c:v>-13.9</c:v>
                </c:pt>
                <c:pt idx="32">
                  <c:v>-13.3</c:v>
                </c:pt>
                <c:pt idx="33">
                  <c:v>-14.1</c:v>
                </c:pt>
                <c:pt idx="34">
                  <c:v>-14.3</c:v>
                </c:pt>
                <c:pt idx="35">
                  <c:v>-14.4</c:v>
                </c:pt>
                <c:pt idx="36">
                  <c:v>-14.7</c:v>
                </c:pt>
                <c:pt idx="37">
                  <c:v>-12.7</c:v>
                </c:pt>
                <c:pt idx="38">
                  <c:v>-12.8</c:v>
                </c:pt>
                <c:pt idx="39">
                  <c:v>-10.5</c:v>
                </c:pt>
                <c:pt idx="40">
                  <c:v>-10.7</c:v>
                </c:pt>
                <c:pt idx="41">
                  <c:v>-10.3</c:v>
                </c:pt>
                <c:pt idx="42">
                  <c:v>-11.3</c:v>
                </c:pt>
                <c:pt idx="43">
                  <c:v>-10.9</c:v>
                </c:pt>
                <c:pt idx="44">
                  <c:v>-9</c:v>
                </c:pt>
                <c:pt idx="45">
                  <c:v>-9.7</c:v>
                </c:pt>
                <c:pt idx="46">
                  <c:v>-12.8</c:v>
                </c:pt>
                <c:pt idx="47">
                  <c:v>-12.2</c:v>
                </c:pt>
                <c:pt idx="48">
                  <c:v>-11.3</c:v>
                </c:pt>
                <c:pt idx="49">
                  <c:v>-13.2</c:v>
                </c:pt>
                <c:pt idx="50">
                  <c:v>-12.1</c:v>
                </c:pt>
                <c:pt idx="51">
                  <c:v>-11.7</c:v>
                </c:pt>
                <c:pt idx="52">
                  <c:v>-11.1</c:v>
                </c:pt>
                <c:pt idx="53">
                  <c:v>-11.8</c:v>
                </c:pt>
                <c:pt idx="54">
                  <c:v>-10.2</c:v>
                </c:pt>
                <c:pt idx="55">
                  <c:v>-13.2</c:v>
                </c:pt>
                <c:pt idx="56">
                  <c:v>-13.9</c:v>
                </c:pt>
                <c:pt idx="57">
                  <c:v>-13</c:v>
                </c:pt>
                <c:pt idx="58">
                  <c:v>-12.4</c:v>
                </c:pt>
                <c:pt idx="59">
                  <c:v>-13.7</c:v>
                </c:pt>
                <c:pt idx="60">
                  <c:v>-12.5</c:v>
                </c:pt>
                <c:pt idx="61">
                  <c:v>-12.4</c:v>
                </c:pt>
                <c:pt idx="62">
                  <c:v>-10.5</c:v>
                </c:pt>
                <c:pt idx="63">
                  <c:v>-10.6</c:v>
                </c:pt>
                <c:pt idx="64">
                  <c:v>-13.8</c:v>
                </c:pt>
                <c:pt idx="65">
                  <c:v>-12.3</c:v>
                </c:pt>
                <c:pt idx="66">
                  <c:v>-11</c:v>
                </c:pt>
                <c:pt idx="67">
                  <c:v>-9.3</c:v>
                </c:pt>
                <c:pt idx="68">
                  <c:v>-10.2</c:v>
                </c:pt>
                <c:pt idx="69">
                  <c:v>-10.4</c:v>
                </c:pt>
                <c:pt idx="70">
                  <c:v>-12.5</c:v>
                </c:pt>
                <c:pt idx="71">
                  <c:v>-12.8</c:v>
                </c:pt>
                <c:pt idx="72">
                  <c:v>-10</c:v>
                </c:pt>
                <c:pt idx="73">
                  <c:v>-10.4</c:v>
                </c:pt>
                <c:pt idx="74">
                  <c:v>-11.1</c:v>
                </c:pt>
                <c:pt idx="75">
                  <c:v>-11.9</c:v>
                </c:pt>
                <c:pt idx="76">
                  <c:v>-11</c:v>
                </c:pt>
                <c:pt idx="77">
                  <c:v>-11.2</c:v>
                </c:pt>
                <c:pt idx="78">
                  <c:v>-9.2</c:v>
                </c:pt>
                <c:pt idx="79">
                  <c:v>-7.9</c:v>
                </c:pt>
                <c:pt idx="80">
                  <c:v>-8.5</c:v>
                </c:pt>
                <c:pt idx="81">
                  <c:v>-10.7</c:v>
                </c:pt>
                <c:pt idx="82">
                  <c:v>-12.6</c:v>
                </c:pt>
                <c:pt idx="83">
                  <c:v>-12.9</c:v>
                </c:pt>
                <c:pt idx="84">
                  <c:v>-11.6</c:v>
                </c:pt>
                <c:pt idx="85">
                  <c:v>-10.4</c:v>
                </c:pt>
                <c:pt idx="86">
                  <c:v>-10.9</c:v>
                </c:pt>
                <c:pt idx="87">
                  <c:v>-10.1</c:v>
                </c:pt>
                <c:pt idx="88">
                  <c:v>-10</c:v>
                </c:pt>
                <c:pt idx="89">
                  <c:v>-8.7</c:v>
                </c:pt>
                <c:pt idx="90">
                  <c:v>-8.3</c:v>
                </c:pt>
                <c:pt idx="91">
                  <c:v>-10.7</c:v>
                </c:pt>
                <c:pt idx="92">
                  <c:v>-11.8</c:v>
                </c:pt>
                <c:pt idx="93">
                  <c:v>-12.6</c:v>
                </c:pt>
                <c:pt idx="94">
                  <c:v>-11.4</c:v>
                </c:pt>
                <c:pt idx="95">
                  <c:v>-9.1</c:v>
                </c:pt>
                <c:pt idx="96">
                  <c:v>-10</c:v>
                </c:pt>
                <c:pt idx="97">
                  <c:v>-11</c:v>
                </c:pt>
                <c:pt idx="98">
                  <c:v>-10.6</c:v>
                </c:pt>
                <c:pt idx="99">
                  <c:v>-9.7</c:v>
                </c:pt>
                <c:pt idx="100">
                  <c:v>-8.5</c:v>
                </c:pt>
                <c:pt idx="101">
                  <c:v>-9.3</c:v>
                </c:pt>
                <c:pt idx="102">
                  <c:v>-10.3</c:v>
                </c:pt>
                <c:pt idx="103">
                  <c:v>-10.8</c:v>
                </c:pt>
                <c:pt idx="104">
                  <c:v>-12.1</c:v>
                </c:pt>
                <c:pt idx="105">
                  <c:v>-12.5</c:v>
                </c:pt>
                <c:pt idx="106">
                  <c:v>-11.9</c:v>
                </c:pt>
                <c:pt idx="107">
                  <c:v>-12.6</c:v>
                </c:pt>
                <c:pt idx="108">
                  <c:v>-13.8</c:v>
                </c:pt>
                <c:pt idx="109">
                  <c:v>-15</c:v>
                </c:pt>
                <c:pt idx="110">
                  <c:v>-14.7</c:v>
                </c:pt>
                <c:pt idx="111">
                  <c:v>-15.3</c:v>
                </c:pt>
                <c:pt idx="112">
                  <c:v>-14.5</c:v>
                </c:pt>
                <c:pt idx="113">
                  <c:v>-13</c:v>
                </c:pt>
                <c:pt idx="114">
                  <c:v>-13.9</c:v>
                </c:pt>
                <c:pt idx="115">
                  <c:v>-14.4</c:v>
                </c:pt>
                <c:pt idx="116">
                  <c:v>-12.1</c:v>
                </c:pt>
                <c:pt idx="117">
                  <c:v>-12.5</c:v>
                </c:pt>
                <c:pt idx="118">
                  <c:v>-12.1</c:v>
                </c:pt>
                <c:pt idx="119">
                  <c:v>-11.3</c:v>
                </c:pt>
                <c:pt idx="120">
                  <c:v>-11.1</c:v>
                </c:pt>
                <c:pt idx="121">
                  <c:v>-10.1</c:v>
                </c:pt>
                <c:pt idx="122">
                  <c:v>-9</c:v>
                </c:pt>
                <c:pt idx="123">
                  <c:v>-9</c:v>
                </c:pt>
                <c:pt idx="124">
                  <c:v>-9.8</c:v>
                </c:pt>
                <c:pt idx="125">
                  <c:v>-9.6</c:v>
                </c:pt>
                <c:pt idx="126">
                  <c:v>-9.9</c:v>
                </c:pt>
                <c:pt idx="127">
                  <c:v>-9.6</c:v>
                </c:pt>
                <c:pt idx="128">
                  <c:v>-11.1</c:v>
                </c:pt>
                <c:pt idx="129">
                  <c:v>-10.9</c:v>
                </c:pt>
                <c:pt idx="130">
                  <c:v>-12.7</c:v>
                </c:pt>
                <c:pt idx="131">
                  <c:v>-13.3</c:v>
                </c:pt>
                <c:pt idx="132">
                  <c:v>-10.8</c:v>
                </c:pt>
                <c:pt idx="133">
                  <c:v>-10.5</c:v>
                </c:pt>
                <c:pt idx="134">
                  <c:v>-10.7</c:v>
                </c:pt>
                <c:pt idx="135">
                  <c:v>-13.4</c:v>
                </c:pt>
                <c:pt idx="136">
                  <c:v>-12.7</c:v>
                </c:pt>
                <c:pt idx="137">
                  <c:v>-13.9</c:v>
                </c:pt>
                <c:pt idx="138">
                  <c:v>-11</c:v>
                </c:pt>
                <c:pt idx="139">
                  <c:v>-9.6</c:v>
                </c:pt>
                <c:pt idx="140">
                  <c:v>-8</c:v>
                </c:pt>
                <c:pt idx="141">
                  <c:v>-10.4</c:v>
                </c:pt>
                <c:pt idx="142">
                  <c:v>-10.8</c:v>
                </c:pt>
                <c:pt idx="143">
                  <c:v>-10</c:v>
                </c:pt>
                <c:pt idx="144">
                  <c:v>-10</c:v>
                </c:pt>
                <c:pt idx="145">
                  <c:v>-9.4</c:v>
                </c:pt>
                <c:pt idx="146">
                  <c:v>-9.5</c:v>
                </c:pt>
                <c:pt idx="147">
                  <c:v>-10.2</c:v>
                </c:pt>
                <c:pt idx="148">
                  <c:v>-10.9</c:v>
                </c:pt>
                <c:pt idx="149">
                  <c:v>-10.6</c:v>
                </c:pt>
                <c:pt idx="150">
                  <c:v>-10.5</c:v>
                </c:pt>
                <c:pt idx="151">
                  <c:v>-12.9</c:v>
                </c:pt>
                <c:pt idx="152">
                  <c:v>-14.9</c:v>
                </c:pt>
                <c:pt idx="153">
                  <c:v>-13.6</c:v>
                </c:pt>
                <c:pt idx="154">
                  <c:v>-11.1</c:v>
                </c:pt>
                <c:pt idx="155">
                  <c:v>-11.4</c:v>
                </c:pt>
                <c:pt idx="156">
                  <c:v>-13.1</c:v>
                </c:pt>
                <c:pt idx="157">
                  <c:v>-14.4</c:v>
                </c:pt>
                <c:pt idx="158">
                  <c:v>-15.9</c:v>
                </c:pt>
                <c:pt idx="159">
                  <c:v>-16</c:v>
                </c:pt>
                <c:pt idx="160">
                  <c:v>-13.3</c:v>
                </c:pt>
                <c:pt idx="161">
                  <c:v>-13.3</c:v>
                </c:pt>
                <c:pt idx="162">
                  <c:v>-12</c:v>
                </c:pt>
                <c:pt idx="163">
                  <c:v>-11.5</c:v>
                </c:pt>
                <c:pt idx="164">
                  <c:v>-10.5</c:v>
                </c:pt>
                <c:pt idx="165">
                  <c:v>-9.6</c:v>
                </c:pt>
                <c:pt idx="166">
                  <c:v>-10.7</c:v>
                </c:pt>
                <c:pt idx="167">
                  <c:v>-10.5</c:v>
                </c:pt>
                <c:pt idx="168">
                  <c:v>-10.8</c:v>
                </c:pt>
                <c:pt idx="169">
                  <c:v>-11.3</c:v>
                </c:pt>
                <c:pt idx="170">
                  <c:v>-11</c:v>
                </c:pt>
                <c:pt idx="171">
                  <c:v>-12.8</c:v>
                </c:pt>
                <c:pt idx="172">
                  <c:v>-12.3</c:v>
                </c:pt>
                <c:pt idx="173">
                  <c:v>-12</c:v>
                </c:pt>
              </c:numCache>
            </c:numRef>
          </c:val>
          <c:smooth val="0"/>
        </c:ser>
        <c:hiLowLines>
          <c:spPr>
            <a:ln w="0">
              <a:noFill/>
            </a:ln>
          </c:spPr>
        </c:hiLowLines>
        <c:marker val="0"/>
        <c:axId val="57705977"/>
        <c:axId val="73715804"/>
      </c:lineChart>
      <c:catAx>
        <c:axId val="57705977"/>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u="none" strike="noStrike">
                <a:solidFill>
                  <a:srgbClr val="000000"/>
                </a:solidFill>
                <a:uFillTx/>
                <a:latin typeface="Arial"/>
                <a:ea typeface="Arial"/>
              </a:defRPr>
            </a:pPr>
          </a:p>
        </c:txPr>
        <c:crossAx val="73715804"/>
        <c:crosses val="autoZero"/>
        <c:auto val="1"/>
        <c:lblAlgn val="ctr"/>
        <c:lblOffset val="100"/>
        <c:noMultiLvlLbl val="0"/>
      </c:catAx>
      <c:valAx>
        <c:axId val="73715804"/>
        <c:scaling>
          <c:orientation val="minMax"/>
        </c:scaling>
        <c:delete val="0"/>
        <c:axPos val="l"/>
        <c:majorGridlines>
          <c:spPr>
            <a:ln w="6480">
              <a:solidFill>
                <a:srgbClr val="B7B7B7"/>
              </a:solidFill>
              <a:round/>
            </a:ln>
          </c:spPr>
        </c:majorGridlines>
        <c:title>
          <c:tx>
            <c:rich>
              <a:bodyPr rot="-5400000"/>
              <a:lstStyle/>
              <a:p>
                <a:pPr>
                  <a:defRPr sz="1000" b="0" u="none" strike="noStrike">
                    <a:solidFill>
                      <a:srgbClr val="000000"/>
                    </a:solidFill>
                    <a:uFillTx/>
                    <a:latin typeface="Arial"/>
                    <a:ea typeface="Arial"/>
                  </a:defRPr>
                </a:pPr>
                <a:r>
                  <a:rPr sz="1000" b="0" u="none" strike="noStrike">
                    <a:solidFill>
                      <a:srgbClr val="000000"/>
                    </a:solidFill>
                    <a:uFillTx/>
                    <a:latin typeface="Arial"/>
                    <a:ea typeface="Arial"/>
                  </a:rPr>
                  <a:t>Jan 1</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1000" b="0" u="none" strike="noStrike">
                <a:solidFill>
                  <a:srgbClr val="000000"/>
                </a:solidFill>
                <a:uFillTx/>
                <a:latin typeface="Arial"/>
                <a:ea typeface="Arial"/>
              </a:defRPr>
            </a:pPr>
          </a:p>
        </c:txPr>
        <c:crossAx val="57705977"/>
        <c:crosses val="autoZero"/>
        <c:crossBetween val="midCat"/>
      </c:valAx>
      <c:spPr>
        <a:solidFill>
          <a:srgbClr val="FFFFFF"/>
        </a:solidFill>
        <a:ln w="0">
          <a:noFill/>
        </a:ln>
      </c:spPr>
    </c:plotArea>
    <c:legend>
      <c:legendPos val="r"/>
      <c:overlay val="0"/>
      <c:spPr>
        <a:noFill/>
        <a:ln w="0">
          <a:noFill/>
        </a:ln>
      </c:spPr>
      <c:txPr>
        <a:bodyPr/>
        <a:lstStyle/>
        <a:p>
          <a:pPr>
            <a:defRPr sz="1000" b="0" u="none" strike="noStrike">
              <a:solidFill>
                <a:srgbClr val="1A1A1A"/>
              </a:solidFill>
              <a:uFillTx/>
              <a:latin typeface="Arial"/>
              <a:ea typeface="Arial"/>
            </a:defRPr>
          </a:pPr>
        </a:p>
      </c:txPr>
    </c:legend>
    <c:plotVisOnly val="1"/>
    <c:dispBlanksAs val="zero"/>
  </c:chart>
  <c:spPr>
    <a:solidFill>
      <a:srgbClr val="FFFFFF"/>
    </a:solidFill>
    <a:ln w="0">
      <a:noFill/>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438120</xdr:colOff>
      <xdr:row>15</xdr:row>
      <xdr:rowOff>19080</xdr:rowOff>
    </xdr:from>
    <xdr:to>
      <xdr:col>25</xdr:col>
      <xdr:colOff>807120</xdr:colOff>
      <xdr:row>29</xdr:row>
      <xdr:rowOff>24480</xdr:rowOff>
    </xdr:to>
    <xdr:graphicFrame>
      <xdr:nvGraphicFramePr>
        <xdr:cNvPr id="1" name="Chart 1"/>
        <xdr:cNvGraphicFramePr/>
      </xdr:nvGraphicFramePr>
      <xdr:xfrm>
        <a:off x="17365320" y="2697480"/>
        <a:ext cx="5714280" cy="2459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762120</xdr:colOff>
      <xdr:row>4</xdr:row>
      <xdr:rowOff>38160</xdr:rowOff>
    </xdr:from>
    <xdr:to>
      <xdr:col>28</xdr:col>
      <xdr:colOff>401760</xdr:colOff>
      <xdr:row>26</xdr:row>
      <xdr:rowOff>142560</xdr:rowOff>
    </xdr:to>
    <xdr:graphicFrame>
      <xdr:nvGraphicFramePr>
        <xdr:cNvPr id="2" name="Chart 2"/>
        <xdr:cNvGraphicFramePr/>
      </xdr:nvGraphicFramePr>
      <xdr:xfrm>
        <a:off x="17689320" y="739080"/>
        <a:ext cx="7657920" cy="40096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22320</xdr:colOff>
      <xdr:row>2</xdr:row>
      <xdr:rowOff>169560</xdr:rowOff>
    </xdr:from>
    <xdr:to>
      <xdr:col>15</xdr:col>
      <xdr:colOff>878400</xdr:colOff>
      <xdr:row>13</xdr:row>
      <xdr:rowOff>93240</xdr:rowOff>
    </xdr:to>
    <xdr:graphicFrame>
      <xdr:nvGraphicFramePr>
        <xdr:cNvPr id="3" name="Chart 3"/>
        <xdr:cNvGraphicFramePr/>
      </xdr:nvGraphicFramePr>
      <xdr:xfrm>
        <a:off x="10713240" y="520200"/>
        <a:ext cx="3528720" cy="1876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590400</xdr:colOff>
      <xdr:row>280</xdr:row>
      <xdr:rowOff>162000</xdr:rowOff>
    </xdr:from>
    <xdr:to>
      <xdr:col>8</xdr:col>
      <xdr:colOff>68760</xdr:colOff>
      <xdr:row>298</xdr:row>
      <xdr:rowOff>95040</xdr:rowOff>
    </xdr:to>
    <xdr:graphicFrame>
      <xdr:nvGraphicFramePr>
        <xdr:cNvPr id="4" name="Chart 4"/>
        <xdr:cNvGraphicFramePr/>
      </xdr:nvGraphicFramePr>
      <xdr:xfrm>
        <a:off x="1481400" y="51290280"/>
        <a:ext cx="5714640" cy="35334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24"/>
  <sheetViews>
    <sheetView showFormulas="false" showGridLines="true" showRowColHeaders="true" showZeros="true" rightToLeft="false" tabSelected="true" showOutlineSymbols="true" defaultGridColor="true" view="normal" topLeftCell="A1" colorId="64" zoomScale="130" zoomScaleNormal="130" zoomScalePageLayoutView="100" workbookViewId="0">
      <selection pane="topLeft" activeCell="C13" activeCellId="0" sqref="C13"/>
    </sheetView>
  </sheetViews>
  <sheetFormatPr defaultColWidth="11.53515625" defaultRowHeight="15.75" customHeight="true" zeroHeight="false" outlineLevelRow="0" outlineLevelCol="0"/>
  <cols>
    <col collapsed="false" customWidth="true" hidden="false" outlineLevel="0" max="1" min="1" style="0" width="3.63"/>
    <col collapsed="false" customWidth="true" hidden="false" outlineLevel="0" max="2" min="2" style="0" width="14.89"/>
    <col collapsed="false" customWidth="true" hidden="false" outlineLevel="0" max="3" min="3" style="0" width="10.59"/>
    <col collapsed="false" customWidth="true" hidden="false" outlineLevel="0" max="4" min="4" style="0" width="2.88"/>
    <col collapsed="false" customWidth="true" hidden="false" outlineLevel="0" max="5" min="5" style="0" width="3.14"/>
    <col collapsed="false" customWidth="true" hidden="false" outlineLevel="0" max="6" min="6" style="0" width="5.51"/>
    <col collapsed="false" customWidth="true" hidden="false" outlineLevel="0" max="61" min="7" style="0" width="3.87"/>
    <col collapsed="false" customWidth="true" hidden="false" outlineLevel="0" max="62" min="62" style="0" width="3.63"/>
    <col collapsed="false" customWidth="true" hidden="false" outlineLevel="0" max="114" min="63" style="0" width="1.63"/>
    <col collapsed="false" customWidth="true" hidden="false" outlineLevel="0" max="115" min="115" style="0" width="4.76"/>
    <col collapsed="false" customWidth="true" hidden="false" outlineLevel="0" max="1024" min="116" style="0" width="12.64"/>
  </cols>
  <sheetData>
    <row r="1" customFormat="false" ht="13.8" hidden="false" customHeight="false" outlineLevel="0" collapsed="false">
      <c r="A1" s="1"/>
      <c r="B1" s="1"/>
      <c r="C1" s="1"/>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row>
    <row r="2" customFormat="false" ht="13.8" hidden="false" customHeight="false" outlineLevel="0" collapsed="false">
      <c r="A2" s="1"/>
      <c r="B2" s="4" t="s">
        <v>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2"/>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row>
    <row r="3" customFormat="false" ht="13.8" hidden="false" customHeight="false" outlineLevel="0" collapsed="false">
      <c r="A3" s="1"/>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2"/>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row>
    <row r="4" customFormat="false" ht="13.8" hidden="false" customHeight="false" outlineLevel="0" collapsed="false">
      <c r="A4" s="1"/>
      <c r="B4" s="1"/>
      <c r="C4" s="1"/>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row>
    <row r="5" customFormat="false" ht="13.8" hidden="false" customHeight="false" outlineLevel="0" collapsed="false">
      <c r="A5" s="1"/>
      <c r="B5" s="5" t="s">
        <v>1</v>
      </c>
      <c r="C5" s="6" t="n">
        <v>3</v>
      </c>
      <c r="D5" s="2"/>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2"/>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row>
    <row r="6" customFormat="false" ht="13.8" hidden="false" customHeight="false" outlineLevel="0" collapsed="false">
      <c r="A6" s="1"/>
      <c r="B6" s="5" t="s">
        <v>2</v>
      </c>
      <c r="C6" s="8" t="n">
        <v>45</v>
      </c>
      <c r="D6" s="2"/>
      <c r="E6" s="9"/>
      <c r="F6" s="9"/>
      <c r="G6" s="10" t="s">
        <v>3</v>
      </c>
      <c r="H6" s="10"/>
      <c r="I6" s="10"/>
      <c r="J6" s="10"/>
      <c r="K6" s="10"/>
      <c r="L6" s="10"/>
      <c r="M6" s="10"/>
      <c r="N6" s="10"/>
      <c r="O6" s="10"/>
      <c r="P6" s="11" t="s">
        <v>4</v>
      </c>
      <c r="Q6" s="11"/>
      <c r="R6" s="11"/>
      <c r="S6" s="11"/>
      <c r="T6" s="11"/>
      <c r="U6" s="11"/>
      <c r="V6" s="11"/>
      <c r="W6" s="11"/>
      <c r="X6" s="11"/>
      <c r="Y6" s="12" t="s">
        <v>5</v>
      </c>
      <c r="Z6" s="12"/>
      <c r="AA6" s="12"/>
      <c r="AB6" s="12"/>
      <c r="AC6" s="12"/>
      <c r="AD6" s="12"/>
      <c r="AE6" s="12"/>
      <c r="AF6" s="12"/>
      <c r="AG6" s="12"/>
      <c r="AH6" s="13" t="s">
        <v>6</v>
      </c>
      <c r="AI6" s="13"/>
      <c r="AJ6" s="13"/>
      <c r="AK6" s="13"/>
      <c r="AL6" s="13"/>
      <c r="AM6" s="13"/>
      <c r="AN6" s="13"/>
      <c r="AO6" s="13"/>
      <c r="AP6" s="13"/>
      <c r="AQ6" s="14" t="s">
        <v>7</v>
      </c>
      <c r="AR6" s="14"/>
      <c r="AS6" s="14"/>
      <c r="AT6" s="14"/>
      <c r="AU6" s="14"/>
      <c r="AV6" s="14"/>
      <c r="AW6" s="14"/>
      <c r="AX6" s="14"/>
      <c r="AY6" s="14"/>
      <c r="AZ6" s="15" t="s">
        <v>8</v>
      </c>
      <c r="BA6" s="15"/>
      <c r="BB6" s="15"/>
      <c r="BC6" s="15"/>
      <c r="BD6" s="15"/>
      <c r="BE6" s="15"/>
      <c r="BF6" s="15"/>
      <c r="BG6" s="15"/>
      <c r="BH6" s="15"/>
      <c r="BI6" s="7"/>
      <c r="BJ6" s="2"/>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row>
    <row r="7" customFormat="false" ht="13.8" hidden="false" customHeight="false" outlineLevel="0" collapsed="false">
      <c r="A7" s="1"/>
      <c r="B7" s="5" t="s">
        <v>9</v>
      </c>
      <c r="C7" s="6" t="n">
        <v>0.8</v>
      </c>
      <c r="D7" s="2"/>
      <c r="E7" s="16"/>
      <c r="F7" s="16"/>
      <c r="G7" s="17" t="n">
        <v>1</v>
      </c>
      <c r="H7" s="17" t="n">
        <v>2</v>
      </c>
      <c r="I7" s="17" t="n">
        <v>3</v>
      </c>
      <c r="J7" s="17" t="n">
        <v>4</v>
      </c>
      <c r="K7" s="17" t="n">
        <v>5</v>
      </c>
      <c r="L7" s="17" t="n">
        <v>6</v>
      </c>
      <c r="M7" s="17" t="n">
        <v>7</v>
      </c>
      <c r="N7" s="17" t="n">
        <v>8</v>
      </c>
      <c r="O7" s="17" t="n">
        <v>9</v>
      </c>
      <c r="P7" s="18" t="n">
        <v>1</v>
      </c>
      <c r="Q7" s="18" t="n">
        <v>2</v>
      </c>
      <c r="R7" s="18" t="n">
        <v>3</v>
      </c>
      <c r="S7" s="18" t="n">
        <v>4</v>
      </c>
      <c r="T7" s="18" t="n">
        <v>5</v>
      </c>
      <c r="U7" s="18" t="n">
        <v>6</v>
      </c>
      <c r="V7" s="18" t="n">
        <v>7</v>
      </c>
      <c r="W7" s="18" t="n">
        <v>8</v>
      </c>
      <c r="X7" s="18" t="n">
        <v>9</v>
      </c>
      <c r="Y7" s="19" t="n">
        <v>1</v>
      </c>
      <c r="Z7" s="19" t="n">
        <v>2</v>
      </c>
      <c r="AA7" s="19" t="n">
        <v>3</v>
      </c>
      <c r="AB7" s="19" t="n">
        <v>4</v>
      </c>
      <c r="AC7" s="19" t="n">
        <v>5</v>
      </c>
      <c r="AD7" s="19" t="n">
        <v>6</v>
      </c>
      <c r="AE7" s="19" t="n">
        <v>7</v>
      </c>
      <c r="AF7" s="19" t="n">
        <v>8</v>
      </c>
      <c r="AG7" s="19" t="n">
        <v>9</v>
      </c>
      <c r="AH7" s="20" t="n">
        <v>1</v>
      </c>
      <c r="AI7" s="20" t="n">
        <v>2</v>
      </c>
      <c r="AJ7" s="20" t="n">
        <v>3</v>
      </c>
      <c r="AK7" s="20" t="n">
        <v>4</v>
      </c>
      <c r="AL7" s="20" t="n">
        <v>5</v>
      </c>
      <c r="AM7" s="20" t="n">
        <v>6</v>
      </c>
      <c r="AN7" s="20" t="n">
        <v>7</v>
      </c>
      <c r="AO7" s="20" t="n">
        <v>8</v>
      </c>
      <c r="AP7" s="20" t="n">
        <v>9</v>
      </c>
      <c r="AQ7" s="21" t="n">
        <v>1</v>
      </c>
      <c r="AR7" s="21" t="n">
        <v>2</v>
      </c>
      <c r="AS7" s="21" t="n">
        <v>3</v>
      </c>
      <c r="AT7" s="21" t="n">
        <v>4</v>
      </c>
      <c r="AU7" s="21" t="n">
        <v>5</v>
      </c>
      <c r="AV7" s="21" t="n">
        <v>6</v>
      </c>
      <c r="AW7" s="21" t="n">
        <v>7</v>
      </c>
      <c r="AX7" s="21" t="n">
        <v>8</v>
      </c>
      <c r="AY7" s="21" t="n">
        <v>9</v>
      </c>
      <c r="AZ7" s="22" t="n">
        <v>1</v>
      </c>
      <c r="BA7" s="22" t="n">
        <v>2</v>
      </c>
      <c r="BB7" s="22" t="n">
        <v>3</v>
      </c>
      <c r="BC7" s="22" t="n">
        <v>4</v>
      </c>
      <c r="BD7" s="22" t="n">
        <v>5</v>
      </c>
      <c r="BE7" s="22" t="n">
        <v>6</v>
      </c>
      <c r="BF7" s="22" t="n">
        <v>7</v>
      </c>
      <c r="BG7" s="22" t="n">
        <v>8</v>
      </c>
      <c r="BH7" s="22" t="n">
        <v>9</v>
      </c>
      <c r="BI7" s="7"/>
      <c r="BJ7" s="2"/>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row>
    <row r="8" customFormat="false" ht="13.8" hidden="false" customHeight="false" outlineLevel="0" collapsed="false">
      <c r="A8" s="1"/>
      <c r="B8" s="5" t="s">
        <v>10</v>
      </c>
      <c r="C8" s="6" t="n">
        <v>0.98</v>
      </c>
      <c r="D8" s="2"/>
      <c r="E8" s="16"/>
      <c r="F8" s="16"/>
      <c r="G8" s="23" t="str">
        <f aca="false">IF(AND(G$9&lt;$C$14,G$10&gt;$C$15),"R",IF(G$9&lt;$C$14,"C","H"))</f>
        <v>C</v>
      </c>
      <c r="H8" s="23" t="str">
        <f aca="false">IF(AND(H$9&lt;$C$14,H$10&gt;$C$15),"R",IF(H$9&lt;$C$14,"C","H"))</f>
        <v>C</v>
      </c>
      <c r="I8" s="23" t="str">
        <f aca="false">IF(AND(I$9&lt;$C$14,I$10&gt;$C$15),"R",IF(I$9&lt;$C$14,"C","H"))</f>
        <v>C</v>
      </c>
      <c r="J8" s="23" t="str">
        <f aca="false">IF(AND(J$9&lt;$C$14,J$10&gt;$C$15),"R",IF(J$9&lt;$C$14,"C","H"))</f>
        <v>C</v>
      </c>
      <c r="K8" s="23" t="str">
        <f aca="false">IF(AND(K$9&lt;$C$14,K$10&gt;$C$15),"R",IF(K$9&lt;$C$14,"C","H"))</f>
        <v>C</v>
      </c>
      <c r="L8" s="23" t="str">
        <f aca="false">IF(AND(L$9&lt;$C$14,L$10&gt;$C$15),"R",IF(L$9&lt;$C$14,"C","H"))</f>
        <v>C</v>
      </c>
      <c r="M8" s="23" t="str">
        <f aca="false">IF(AND(M$9&lt;$C$14,M$10&gt;$C$15),"R",IF(M$9&lt;$C$14,"C","H"))</f>
        <v>C</v>
      </c>
      <c r="N8" s="23" t="str">
        <f aca="false">IF(AND(N$9&lt;$C$14,N$10&gt;$C$15),"R",IF(N$9&lt;$C$14,"C","H"))</f>
        <v>C</v>
      </c>
      <c r="O8" s="23" t="str">
        <f aca="false">IF(AND(O$9&lt;$C$14,O$10&gt;$C$15),"R",IF(O$9&lt;$C$14,"C","H"))</f>
        <v>C</v>
      </c>
      <c r="P8" s="23" t="str">
        <f aca="false">IF(AND(P$9&lt;$C$14,P$10&gt;$C$15),"R",IF(P$9&lt;$C$14,"C","H"))</f>
        <v>C</v>
      </c>
      <c r="Q8" s="23" t="str">
        <f aca="false">IF(AND(Q$9&lt;$C$14,Q$10&gt;$C$15),"R",IF(Q$9&lt;$C$14,"C","H"))</f>
        <v>C</v>
      </c>
      <c r="R8" s="23" t="str">
        <f aca="false">IF(AND(R$9&lt;$C$14,R$10&gt;$C$15),"R",IF(R$9&lt;$C$14,"C","H"))</f>
        <v>C</v>
      </c>
      <c r="S8" s="23" t="str">
        <f aca="false">IF(AND(S$9&lt;$C$14,S$10&gt;$C$15),"R",IF(S$9&lt;$C$14,"C","H"))</f>
        <v>C</v>
      </c>
      <c r="T8" s="23" t="str">
        <f aca="false">IF(AND(T$9&lt;$C$14,T$10&gt;$C$15),"R",IF(T$9&lt;$C$14,"C","H"))</f>
        <v>C</v>
      </c>
      <c r="U8" s="23" t="str">
        <f aca="false">IF(AND(U$9&lt;$C$14,U$10&gt;$C$15),"R",IF(U$9&lt;$C$14,"C","H"))</f>
        <v>C</v>
      </c>
      <c r="V8" s="23" t="str">
        <f aca="false">IF(AND(V$9&lt;$C$14,V$10&gt;$C$15),"R",IF(V$9&lt;$C$14,"C","H"))</f>
        <v>R</v>
      </c>
      <c r="W8" s="23" t="str">
        <f aca="false">IF(AND(W$9&lt;$C$14,W$10&gt;$C$15),"R",IF(W$9&lt;$C$14,"C","H"))</f>
        <v>R</v>
      </c>
      <c r="X8" s="23" t="str">
        <f aca="false">IF(AND(X$9&lt;$C$14,X$10&gt;$C$15),"R",IF(X$9&lt;$C$14,"C","H"))</f>
        <v>R</v>
      </c>
      <c r="Y8" s="23" t="str">
        <f aca="false">IF(AND(Y$9&lt;$C$14,Y$10&gt;$C$15),"R",IF(Y$9&lt;$C$14,"C","H"))</f>
        <v>R</v>
      </c>
      <c r="Z8" s="23" t="str">
        <f aca="false">IF(AND(Z$9&lt;$C$14,Z$10&gt;$C$15),"R",IF(Z$9&lt;$C$14,"C","H"))</f>
        <v>R</v>
      </c>
      <c r="AA8" s="23" t="str">
        <f aca="false">IF(AND(AA$9&lt;$C$14,AA$10&gt;$C$15),"R",IF(AA$9&lt;$C$14,"C","H"))</f>
        <v>R</v>
      </c>
      <c r="AB8" s="23" t="str">
        <f aca="false">IF(AND(AB$9&lt;$C$14,AB$10&gt;$C$15),"R",IF(AB$9&lt;$C$14,"C","H"))</f>
        <v>R</v>
      </c>
      <c r="AC8" s="23" t="str">
        <f aca="false">IF(AND(AC$9&lt;$C$14,AC$10&gt;$C$15),"R",IF(AC$9&lt;$C$14,"C","H"))</f>
        <v>R</v>
      </c>
      <c r="AD8" s="23" t="str">
        <f aca="false">IF(AND(AD$9&lt;$C$14,AD$10&gt;$C$15),"R",IF(AD$9&lt;$C$14,"C","H"))</f>
        <v>R</v>
      </c>
      <c r="AE8" s="23" t="str">
        <f aca="false">IF(AND(AE$9&lt;$C$14,AE$10&gt;$C$15),"R",IF(AE$9&lt;$C$14,"C","H"))</f>
        <v>R</v>
      </c>
      <c r="AF8" s="23" t="str">
        <f aca="false">IF(AND(AF$9&lt;$C$14,AF$10&gt;$C$15),"R",IF(AF$9&lt;$C$14,"C","H"))</f>
        <v>R</v>
      </c>
      <c r="AG8" s="23" t="str">
        <f aca="false">IF(AND(AG$9&lt;$C$14,AG$10&gt;$C$15),"R",IF(AG$9&lt;$C$14,"C","H"))</f>
        <v>R</v>
      </c>
      <c r="AH8" s="23" t="str">
        <f aca="false">IF(AND(AH$9&lt;$C$14,AH$10&gt;$C$15),"R",IF(AH$9&lt;$C$14,"C","H"))</f>
        <v>R</v>
      </c>
      <c r="AI8" s="23" t="str">
        <f aca="false">IF(AND(AI$9&lt;$C$14,AI$10&gt;$C$15),"R",IF(AI$9&lt;$C$14,"C","H"))</f>
        <v>R</v>
      </c>
      <c r="AJ8" s="23" t="str">
        <f aca="false">IF(AND(AJ$9&lt;$C$14,AJ$10&gt;$C$15),"R",IF(AJ$9&lt;$C$14,"C","H"))</f>
        <v>R</v>
      </c>
      <c r="AK8" s="23" t="str">
        <f aca="false">IF(AND(AK$9&lt;$C$14,AK$10&gt;$C$15),"R",IF(AK$9&lt;$C$14,"C","H"))</f>
        <v>R</v>
      </c>
      <c r="AL8" s="23" t="str">
        <f aca="false">IF(AND(AL$9&lt;$C$14,AL$10&gt;$C$15),"R",IF(AL$9&lt;$C$14,"C","H"))</f>
        <v>R</v>
      </c>
      <c r="AM8" s="23" t="str">
        <f aca="false">IF(AND(AM$9&lt;$C$14,AM$10&gt;$C$15),"R",IF(AM$9&lt;$C$14,"C","H"))</f>
        <v>R</v>
      </c>
      <c r="AN8" s="23" t="str">
        <f aca="false">IF(AND(AN$9&lt;$C$14,AN$10&gt;$C$15),"R",IF(AN$9&lt;$C$14,"C","H"))</f>
        <v>R</v>
      </c>
      <c r="AO8" s="23" t="str">
        <f aca="false">IF(AND(AO$9&lt;$C$14,AO$10&gt;$C$15),"R",IF(AO$9&lt;$C$14,"C","H"))</f>
        <v>R</v>
      </c>
      <c r="AP8" s="23" t="str">
        <f aca="false">IF(AND(AP$9&lt;$C$14,AP$10&gt;$C$15),"R",IF(AP$9&lt;$C$14,"C","H"))</f>
        <v>R</v>
      </c>
      <c r="AQ8" s="23" t="str">
        <f aca="false">IF(AND(AQ$9&lt;$C$14,AQ$10&gt;$C$15),"R",IF(AQ$9&lt;$C$14,"C","H"))</f>
        <v>R</v>
      </c>
      <c r="AR8" s="23" t="str">
        <f aca="false">IF(AND(AR$9&lt;$C$14,AR$10&gt;$C$15),"R",IF(AR$9&lt;$C$14,"C","H"))</f>
        <v>R</v>
      </c>
      <c r="AS8" s="23" t="str">
        <f aca="false">IF(AND(AS$9&lt;$C$14,AS$10&gt;$C$15),"R",IF(AS$9&lt;$C$14,"C","H"))</f>
        <v>R</v>
      </c>
      <c r="AT8" s="23" t="str">
        <f aca="false">IF(AND(AT$9&lt;$C$14,AT$10&gt;$C$15),"R",IF(AT$9&lt;$C$14,"C","H"))</f>
        <v>R</v>
      </c>
      <c r="AU8" s="23" t="str">
        <f aca="false">IF(AND(AU$9&lt;$C$14,AU$10&gt;$C$15),"R",IF(AU$9&lt;$C$14,"C","H"))</f>
        <v>R</v>
      </c>
      <c r="AV8" s="23" t="str">
        <f aca="false">IF(AND(AV$9&lt;$C$14,AV$10&gt;$C$15),"R",IF(AV$9&lt;$C$14,"C","H"))</f>
        <v>R</v>
      </c>
      <c r="AW8" s="23" t="str">
        <f aca="false">IF(AND(AW$9&lt;$C$14,AW$10&gt;$C$15),"R",IF(AW$9&lt;$C$14,"C","H"))</f>
        <v>R</v>
      </c>
      <c r="AX8" s="23" t="str">
        <f aca="false">IF(AND(AX$9&lt;$C$14,AX$10&gt;$C$15),"R",IF(AX$9&lt;$C$14,"C","H"))</f>
        <v>R</v>
      </c>
      <c r="AY8" s="23" t="str">
        <f aca="false">IF(AND(AY$9&lt;$C$14,AY$10&gt;$C$15),"R",IF(AY$9&lt;$C$14,"C","H"))</f>
        <v>R</v>
      </c>
      <c r="AZ8" s="23" t="str">
        <f aca="false">IF(AND(AZ$9&lt;$C$14,AZ$10&gt;$C$15),"R",IF(AZ$9&lt;$C$14,"C","H"))</f>
        <v>R</v>
      </c>
      <c r="BA8" s="23" t="str">
        <f aca="false">IF(AND(BA$9&lt;$C$14,BA$10&gt;$C$15),"R",IF(BA$9&lt;$C$14,"C","H"))</f>
        <v>R</v>
      </c>
      <c r="BB8" s="23" t="str">
        <f aca="false">IF(AND(BB$9&lt;$C$14,BB$10&gt;$C$15),"R",IF(BB$9&lt;$C$14,"C","H"))</f>
        <v>R</v>
      </c>
      <c r="BC8" s="23" t="str">
        <f aca="false">IF(AND(BC$9&lt;$C$14,BC$10&gt;$C$15),"R",IF(BC$9&lt;$C$14,"C","H"))</f>
        <v>R</v>
      </c>
      <c r="BD8" s="23" t="str">
        <f aca="false">IF(AND(BD$9&lt;$C$14,BD$10&gt;$C$15),"R",IF(BD$9&lt;$C$14,"C","H"))</f>
        <v>R</v>
      </c>
      <c r="BE8" s="23" t="str">
        <f aca="false">IF(AND(BE$9&lt;$C$14,BE$10&gt;$C$15),"R",IF(BE$9&lt;$C$14,"C","H"))</f>
        <v>R</v>
      </c>
      <c r="BF8" s="23" t="str">
        <f aca="false">IF(AND(BF$9&lt;$C$14,BF$10&gt;$C$15),"R",IF(BF$9&lt;$C$14,"C","H"))</f>
        <v>R</v>
      </c>
      <c r="BG8" s="23" t="str">
        <f aca="false">IF(AND(BG$9&lt;$C$14,BG$10&gt;$C$15),"R",IF(BG$9&lt;$C$14,"C","H"))</f>
        <v>R</v>
      </c>
      <c r="BH8" s="23" t="str">
        <f aca="false">IF(AND(BH$9&lt;$C$14,BH$10&gt;$C$15),"R",IF(BH$9&lt;$C$14,"C","H"))</f>
        <v>R</v>
      </c>
      <c r="BI8" s="7"/>
      <c r="BJ8" s="2"/>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row>
    <row r="9" customFormat="false" ht="13.8" hidden="false" customHeight="false" outlineLevel="0" collapsed="false">
      <c r="A9" s="24"/>
      <c r="B9" s="5" t="s">
        <v>11</v>
      </c>
      <c r="C9" s="6" t="n">
        <v>0</v>
      </c>
      <c r="D9" s="24"/>
      <c r="E9" s="16"/>
      <c r="F9" s="25" t="s">
        <v>12</v>
      </c>
      <c r="G9" s="26" t="n">
        <f aca="false">'Planting Maths'!B133</f>
        <v>-4.36988793152557</v>
      </c>
      <c r="H9" s="26" t="n">
        <f aca="false">'Planting Maths'!C133</f>
        <v>-4.41994863625273</v>
      </c>
      <c r="I9" s="26" t="n">
        <f aca="false">'Planting Maths'!D133</f>
        <v>-4.44332114205469</v>
      </c>
      <c r="J9" s="26" t="n">
        <f aca="false">'Planting Maths'!E133</f>
        <v>-4.44974557452083</v>
      </c>
      <c r="K9" s="26" t="n">
        <f aca="false">'Planting Maths'!F133</f>
        <v>-4.44974557452083</v>
      </c>
      <c r="L9" s="26" t="n">
        <f aca="false">'Planting Maths'!G133</f>
        <v>-4.44332114205469</v>
      </c>
      <c r="M9" s="26" t="n">
        <f aca="false">'Planting Maths'!H133</f>
        <v>-4.41994863625273</v>
      </c>
      <c r="N9" s="26" t="n">
        <f aca="false">'Planting Maths'!I133</f>
        <v>-4.36988793152557</v>
      </c>
      <c r="O9" s="26" t="n">
        <f aca="false">'Planting Maths'!J133</f>
        <v>-4.28464747299383</v>
      </c>
      <c r="P9" s="26" t="n">
        <f aca="false">'Planting Maths'!K133</f>
        <v>-4.15693331441824</v>
      </c>
      <c r="Q9" s="26" t="n">
        <f aca="false">'Planting Maths'!L133</f>
        <v>-3.98059815612992</v>
      </c>
      <c r="R9" s="26" t="n">
        <f aca="false">'Planting Maths'!M133</f>
        <v>-3.75059038296055</v>
      </c>
      <c r="S9" s="26" t="n">
        <f aca="false">'Planting Maths'!N133</f>
        <v>-3.46290310217259</v>
      </c>
      <c r="T9" s="26" t="n">
        <f aca="false">'Planting Maths'!O133</f>
        <v>-3.11452318138947</v>
      </c>
      <c r="U9" s="26" t="n">
        <f aca="false">'Planting Maths'!P133</f>
        <v>-2.70338028652581</v>
      </c>
      <c r="V9" s="26" t="n">
        <f aca="false">'Planting Maths'!Q133</f>
        <v>-2.22829591971764</v>
      </c>
      <c r="W9" s="26" t="n">
        <f aca="false">'Planting Maths'!R133</f>
        <v>-1.68893245725256</v>
      </c>
      <c r="X9" s="26" t="n">
        <f aca="false">'Planting Maths'!S133</f>
        <v>-1.0857421875</v>
      </c>
      <c r="Y9" s="26" t="n">
        <f aca="false">'Planting Maths'!T133</f>
        <v>-0.419916348841402</v>
      </c>
      <c r="Z9" s="26" t="n">
        <f aca="false">'Planting Maths'!U133</f>
        <v>0.306665832399617</v>
      </c>
      <c r="AA9" s="26" t="n">
        <f aca="false">'Planting Maths'!V133</f>
        <v>1.09148810402694</v>
      </c>
      <c r="AB9" s="26" t="n">
        <f aca="false">'Planting Maths'!W133</f>
        <v>1.9314481500419</v>
      </c>
      <c r="AC9" s="26" t="n">
        <f aca="false">'Planting Maths'!X133</f>
        <v>2.82290855271295</v>
      </c>
      <c r="AD9" s="26" t="n">
        <f aca="false">'Planting Maths'!Y133</f>
        <v>3.7617477546455</v>
      </c>
      <c r="AE9" s="26" t="n">
        <f aca="false">'Planting Maths'!Z133</f>
        <v>4.74341102085172</v>
      </c>
      <c r="AF9" s="26" t="n">
        <f aca="false">'Planting Maths'!AA133</f>
        <v>5.76296140082036</v>
      </c>
      <c r="AG9" s="26" t="n">
        <f aca="false">'Planting Maths'!AB133</f>
        <v>6.81513069058644</v>
      </c>
      <c r="AH9" s="26" t="n">
        <f aca="false">'Planting Maths'!AC133</f>
        <v>7.89437039480112</v>
      </c>
      <c r="AI9" s="26" t="n">
        <f aca="false">'Planting Maths'!AD133</f>
        <v>8.99490268880161</v>
      </c>
      <c r="AJ9" s="26" t="n">
        <f aca="false">'Planting Maths'!AE133</f>
        <v>10.1107713806807</v>
      </c>
      <c r="AK9" s="26" t="n">
        <f aca="false">'Planting Maths'!AF133</f>
        <v>11.2358928733567</v>
      </c>
      <c r="AL9" s="26" t="n">
        <f aca="false">'Planting Maths'!AG133</f>
        <v>12.3641071266433</v>
      </c>
      <c r="AM9" s="26" t="n">
        <f aca="false">'Planting Maths'!AH133</f>
        <v>13.4892286193193</v>
      </c>
      <c r="AN9" s="26" t="n">
        <f aca="false">'Planting Maths'!AI133</f>
        <v>14.6050973111984</v>
      </c>
      <c r="AO9" s="26" t="n">
        <f aca="false">'Planting Maths'!AJ133</f>
        <v>15.7056296051989</v>
      </c>
      <c r="AP9" s="26" t="n">
        <f aca="false">'Planting Maths'!AK133</f>
        <v>16.7848693094136</v>
      </c>
      <c r="AQ9" s="26" t="n">
        <f aca="false">'Planting Maths'!AL133</f>
        <v>17.8370385991797</v>
      </c>
      <c r="AR9" s="26" t="n">
        <f aca="false">'Planting Maths'!AM133</f>
        <v>18.8565889791482</v>
      </c>
      <c r="AS9" s="26" t="n">
        <f aca="false">'Planting Maths'!AN133</f>
        <v>19.8382522453545</v>
      </c>
      <c r="AT9" s="26" t="n">
        <f aca="false">'Planting Maths'!AO133</f>
        <v>20.7770914472871</v>
      </c>
      <c r="AU9" s="26" t="n">
        <f aca="false">'Planting Maths'!AP133</f>
        <v>21.6685518499581</v>
      </c>
      <c r="AV9" s="26" t="n">
        <f aca="false">'Planting Maths'!AQ133</f>
        <v>22.5085118959731</v>
      </c>
      <c r="AW9" s="26" t="n">
        <f aca="false">'Planting Maths'!AR133</f>
        <v>23.2933341676004</v>
      </c>
      <c r="AX9" s="26" t="n">
        <f aca="false">'Planting Maths'!AS133</f>
        <v>24.0199163488414</v>
      </c>
      <c r="AY9" s="26" t="n">
        <f aca="false">'Planting Maths'!AT133</f>
        <v>24.6857421875</v>
      </c>
      <c r="AZ9" s="26" t="n">
        <f aca="false">'Planting Maths'!AU133</f>
        <v>25.2889324572526</v>
      </c>
      <c r="BA9" s="26" t="n">
        <f aca="false">'Planting Maths'!AV133</f>
        <v>25.8282959197176</v>
      </c>
      <c r="BB9" s="26" t="n">
        <f aca="false">'Planting Maths'!AW133</f>
        <v>26.3033802865258</v>
      </c>
      <c r="BC9" s="26" t="n">
        <f aca="false">'Planting Maths'!AX133</f>
        <v>26.7145231813895</v>
      </c>
      <c r="BD9" s="26" t="n">
        <f aca="false">'Planting Maths'!AY133</f>
        <v>27.0629031021726</v>
      </c>
      <c r="BE9" s="26" t="n">
        <f aca="false">'Planting Maths'!AZ133</f>
        <v>27.3505903829606</v>
      </c>
      <c r="BF9" s="26" t="n">
        <f aca="false">'Planting Maths'!BA133</f>
        <v>27.5805981561299</v>
      </c>
      <c r="BG9" s="26" t="n">
        <f aca="false">'Planting Maths'!BB133</f>
        <v>27.7569333144183</v>
      </c>
      <c r="BH9" s="26" t="n">
        <f aca="false">'Planting Maths'!BC133</f>
        <v>27.8846474729938</v>
      </c>
      <c r="BI9" s="7"/>
      <c r="BJ9" s="2"/>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row>
    <row r="10" customFormat="false" ht="13.8" hidden="false" customHeight="false" outlineLevel="0" collapsed="false">
      <c r="A10" s="24"/>
      <c r="B10" s="5" t="s">
        <v>13</v>
      </c>
      <c r="C10" s="6" t="s">
        <v>14</v>
      </c>
      <c r="D10" s="24"/>
      <c r="E10" s="9"/>
      <c r="F10" s="25" t="s">
        <v>15</v>
      </c>
      <c r="G10" s="26" t="n">
        <f aca="false">'Planting Maths'!B132</f>
        <v>-11.9698879315256</v>
      </c>
      <c r="H10" s="26" t="n">
        <f aca="false">'Planting Maths'!C132</f>
        <v>-12.0199486362527</v>
      </c>
      <c r="I10" s="26" t="n">
        <f aca="false">'Planting Maths'!D132</f>
        <v>-12.0433211420547</v>
      </c>
      <c r="J10" s="26" t="n">
        <f aca="false">'Planting Maths'!E132</f>
        <v>-12.0497455745208</v>
      </c>
      <c r="K10" s="26" t="n">
        <f aca="false">'Planting Maths'!F132</f>
        <v>-12.0497455745208</v>
      </c>
      <c r="L10" s="26" t="n">
        <f aca="false">'Planting Maths'!G132</f>
        <v>-12.0433211420547</v>
      </c>
      <c r="M10" s="26" t="n">
        <f aca="false">'Planting Maths'!H132</f>
        <v>-12.0199486362527</v>
      </c>
      <c r="N10" s="26" t="n">
        <f aca="false">'Planting Maths'!I132</f>
        <v>-11.9698879315256</v>
      </c>
      <c r="O10" s="26" t="n">
        <f aca="false">'Planting Maths'!J132</f>
        <v>-11.8846474729938</v>
      </c>
      <c r="P10" s="26" t="n">
        <f aca="false">'Planting Maths'!K132</f>
        <v>-11.7569333144182</v>
      </c>
      <c r="Q10" s="26" t="n">
        <f aca="false">'Planting Maths'!L132</f>
        <v>-11.5805981561299</v>
      </c>
      <c r="R10" s="26" t="n">
        <f aca="false">'Planting Maths'!M132</f>
        <v>-11.3505903829605</v>
      </c>
      <c r="S10" s="26" t="n">
        <f aca="false">'Planting Maths'!N132</f>
        <v>-11.0629031021726</v>
      </c>
      <c r="T10" s="26" t="n">
        <f aca="false">'Planting Maths'!O132</f>
        <v>-10.7145231813895</v>
      </c>
      <c r="U10" s="26" t="n">
        <f aca="false">'Planting Maths'!P132</f>
        <v>-10.3033802865258</v>
      </c>
      <c r="V10" s="26" t="n">
        <f aca="false">'Planting Maths'!Q132</f>
        <v>-9.82829591971764</v>
      </c>
      <c r="W10" s="26" t="n">
        <f aca="false">'Planting Maths'!R132</f>
        <v>-9.28893245725256</v>
      </c>
      <c r="X10" s="26" t="n">
        <f aca="false">'Planting Maths'!S132</f>
        <v>-8.6857421875</v>
      </c>
      <c r="Y10" s="26" t="n">
        <f aca="false">'Planting Maths'!T132</f>
        <v>-8.0199163488414</v>
      </c>
      <c r="Z10" s="26" t="n">
        <f aca="false">'Planting Maths'!U132</f>
        <v>-7.29333416760038</v>
      </c>
      <c r="AA10" s="26" t="n">
        <f aca="false">'Planting Maths'!V132</f>
        <v>-6.50851189597306</v>
      </c>
      <c r="AB10" s="26" t="n">
        <f aca="false">'Planting Maths'!W132</f>
        <v>-5.6685518499581</v>
      </c>
      <c r="AC10" s="26" t="n">
        <f aca="false">'Planting Maths'!X132</f>
        <v>-4.77709144728705</v>
      </c>
      <c r="AD10" s="26" t="n">
        <f aca="false">'Planting Maths'!Y132</f>
        <v>-3.8382522453545</v>
      </c>
      <c r="AE10" s="26" t="n">
        <f aca="false">'Planting Maths'!Z132</f>
        <v>-2.85658897914828</v>
      </c>
      <c r="AF10" s="26" t="n">
        <f aca="false">'Planting Maths'!AA132</f>
        <v>-1.83703859917964</v>
      </c>
      <c r="AG10" s="26" t="n">
        <f aca="false">'Planting Maths'!AB132</f>
        <v>-0.784869309413565</v>
      </c>
      <c r="AH10" s="26" t="n">
        <f aca="false">'Planting Maths'!AC132</f>
        <v>0.294370394801121</v>
      </c>
      <c r="AI10" s="26" t="n">
        <f aca="false">'Planting Maths'!AD132</f>
        <v>1.39490268880161</v>
      </c>
      <c r="AJ10" s="26" t="n">
        <f aca="false">'Planting Maths'!AE132</f>
        <v>2.51077138068065</v>
      </c>
      <c r="AK10" s="26" t="n">
        <f aca="false">'Planting Maths'!AF132</f>
        <v>3.63589287335668</v>
      </c>
      <c r="AL10" s="26" t="n">
        <f aca="false">'Planting Maths'!AG132</f>
        <v>4.76410712664332</v>
      </c>
      <c r="AM10" s="26" t="n">
        <f aca="false">'Planting Maths'!AH132</f>
        <v>5.88922861931934</v>
      </c>
      <c r="AN10" s="26" t="n">
        <f aca="false">'Planting Maths'!AI132</f>
        <v>7.00509731119839</v>
      </c>
      <c r="AO10" s="26" t="n">
        <f aca="false">'Planting Maths'!AJ132</f>
        <v>8.10562960519888</v>
      </c>
      <c r="AP10" s="26" t="n">
        <f aca="false">'Planting Maths'!AK132</f>
        <v>9.1848693094136</v>
      </c>
      <c r="AQ10" s="26" t="n">
        <f aca="false">'Planting Maths'!AL132</f>
        <v>10.2370385991797</v>
      </c>
      <c r="AR10" s="26" t="n">
        <f aca="false">'Planting Maths'!AM132</f>
        <v>11.2565889791482</v>
      </c>
      <c r="AS10" s="26" t="n">
        <f aca="false">'Planting Maths'!AN132</f>
        <v>12.2382522453545</v>
      </c>
      <c r="AT10" s="26" t="n">
        <f aca="false">'Planting Maths'!AO132</f>
        <v>13.177091447287</v>
      </c>
      <c r="AU10" s="26" t="n">
        <f aca="false">'Planting Maths'!AP132</f>
        <v>14.0685518499581</v>
      </c>
      <c r="AV10" s="26" t="n">
        <f aca="false">'Planting Maths'!AQ132</f>
        <v>14.9085118959731</v>
      </c>
      <c r="AW10" s="26" t="n">
        <f aca="false">'Planting Maths'!AR132</f>
        <v>15.6933341676004</v>
      </c>
      <c r="AX10" s="26" t="n">
        <f aca="false">'Planting Maths'!AS132</f>
        <v>16.4199163488414</v>
      </c>
      <c r="AY10" s="26" t="n">
        <f aca="false">'Planting Maths'!AT132</f>
        <v>17.0857421875</v>
      </c>
      <c r="AZ10" s="26" t="n">
        <f aca="false">'Planting Maths'!AU132</f>
        <v>17.6889324572526</v>
      </c>
      <c r="BA10" s="26" t="n">
        <f aca="false">'Planting Maths'!AV132</f>
        <v>18.2282959197176</v>
      </c>
      <c r="BB10" s="26" t="n">
        <f aca="false">'Planting Maths'!AW132</f>
        <v>18.7033802865258</v>
      </c>
      <c r="BC10" s="26" t="n">
        <f aca="false">'Planting Maths'!AX132</f>
        <v>19.1145231813895</v>
      </c>
      <c r="BD10" s="26" t="n">
        <f aca="false">'Planting Maths'!AY132</f>
        <v>19.4629031021726</v>
      </c>
      <c r="BE10" s="26" t="n">
        <f aca="false">'Planting Maths'!AZ132</f>
        <v>19.7505903829606</v>
      </c>
      <c r="BF10" s="26" t="n">
        <f aca="false">'Planting Maths'!BA132</f>
        <v>19.9805981561299</v>
      </c>
      <c r="BG10" s="26" t="n">
        <f aca="false">'Planting Maths'!BB132</f>
        <v>20.1569333144183</v>
      </c>
      <c r="BH10" s="26" t="n">
        <f aca="false">'Planting Maths'!BC132</f>
        <v>20.2846474729938</v>
      </c>
      <c r="BI10" s="9"/>
      <c r="BJ10" s="24"/>
    </row>
    <row r="11" customFormat="false" ht="13.8" hidden="false" customHeight="false" outlineLevel="0" collapsed="false">
      <c r="A11" s="24"/>
      <c r="B11" s="27"/>
      <c r="C11" s="27"/>
      <c r="D11" s="24"/>
      <c r="E11" s="9"/>
      <c r="F11" s="9"/>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24"/>
    </row>
    <row r="12" customFormat="false" ht="13.8" hidden="false" customHeight="false" outlineLevel="0" collapsed="false">
      <c r="A12" s="1"/>
      <c r="B12" s="27"/>
      <c r="C12" s="27"/>
      <c r="D12" s="1"/>
      <c r="E12" s="9"/>
      <c r="F12" s="9"/>
      <c r="G12" s="28" t="s">
        <v>16</v>
      </c>
      <c r="H12" s="28"/>
      <c r="I12" s="28"/>
      <c r="J12" s="28"/>
      <c r="K12" s="28"/>
      <c r="L12" s="28"/>
      <c r="M12" s="28"/>
      <c r="N12" s="28"/>
      <c r="O12" s="28"/>
      <c r="P12" s="29" t="s">
        <v>17</v>
      </c>
      <c r="Q12" s="29"/>
      <c r="R12" s="29"/>
      <c r="S12" s="29"/>
      <c r="T12" s="29"/>
      <c r="U12" s="29"/>
      <c r="V12" s="29"/>
      <c r="W12" s="29"/>
      <c r="X12" s="29"/>
      <c r="Y12" s="30" t="s">
        <v>18</v>
      </c>
      <c r="Z12" s="30"/>
      <c r="AA12" s="30"/>
      <c r="AB12" s="30"/>
      <c r="AC12" s="30"/>
      <c r="AD12" s="30"/>
      <c r="AE12" s="30"/>
      <c r="AF12" s="30"/>
      <c r="AG12" s="30"/>
      <c r="AH12" s="31" t="s">
        <v>19</v>
      </c>
      <c r="AI12" s="31"/>
      <c r="AJ12" s="31"/>
      <c r="AK12" s="31"/>
      <c r="AL12" s="31"/>
      <c r="AM12" s="31"/>
      <c r="AN12" s="31"/>
      <c r="AO12" s="31"/>
      <c r="AP12" s="31"/>
      <c r="AQ12" s="32" t="s">
        <v>20</v>
      </c>
      <c r="AR12" s="32"/>
      <c r="AS12" s="32"/>
      <c r="AT12" s="32"/>
      <c r="AU12" s="32"/>
      <c r="AV12" s="32"/>
      <c r="AW12" s="32"/>
      <c r="AX12" s="32"/>
      <c r="AY12" s="32"/>
      <c r="AZ12" s="33" t="s">
        <v>21</v>
      </c>
      <c r="BA12" s="33"/>
      <c r="BB12" s="33"/>
      <c r="BC12" s="33"/>
      <c r="BD12" s="33"/>
      <c r="BE12" s="33"/>
      <c r="BF12" s="33"/>
      <c r="BG12" s="33"/>
      <c r="BH12" s="33"/>
      <c r="BI12" s="7"/>
      <c r="BJ12" s="24"/>
    </row>
    <row r="13" customFormat="false" ht="13.8" hidden="false" customHeight="false" outlineLevel="0" collapsed="false">
      <c r="A13" s="24"/>
      <c r="B13" s="5" t="s">
        <v>22</v>
      </c>
      <c r="C13" s="34" t="s">
        <v>23</v>
      </c>
      <c r="D13" s="1"/>
      <c r="E13" s="9"/>
      <c r="F13" s="9"/>
      <c r="G13" s="35" t="n">
        <v>1</v>
      </c>
      <c r="H13" s="35" t="n">
        <v>2</v>
      </c>
      <c r="I13" s="35" t="n">
        <v>3</v>
      </c>
      <c r="J13" s="35" t="n">
        <v>4</v>
      </c>
      <c r="K13" s="35" t="n">
        <v>5</v>
      </c>
      <c r="L13" s="35" t="n">
        <v>6</v>
      </c>
      <c r="M13" s="35" t="n">
        <v>7</v>
      </c>
      <c r="N13" s="35" t="n">
        <v>8</v>
      </c>
      <c r="O13" s="35" t="n">
        <v>9</v>
      </c>
      <c r="P13" s="36" t="n">
        <v>1</v>
      </c>
      <c r="Q13" s="36" t="n">
        <v>2</v>
      </c>
      <c r="R13" s="36" t="n">
        <v>3</v>
      </c>
      <c r="S13" s="36" t="n">
        <v>4</v>
      </c>
      <c r="T13" s="36" t="n">
        <v>5</v>
      </c>
      <c r="U13" s="36" t="n">
        <v>6</v>
      </c>
      <c r="V13" s="36" t="n">
        <v>7</v>
      </c>
      <c r="W13" s="36" t="n">
        <v>8</v>
      </c>
      <c r="X13" s="36" t="n">
        <v>9</v>
      </c>
      <c r="Y13" s="37" t="n">
        <v>1</v>
      </c>
      <c r="Z13" s="37" t="n">
        <v>2</v>
      </c>
      <c r="AA13" s="37" t="n">
        <v>3</v>
      </c>
      <c r="AB13" s="37" t="n">
        <v>4</v>
      </c>
      <c r="AC13" s="37" t="n">
        <v>5</v>
      </c>
      <c r="AD13" s="37" t="n">
        <v>6</v>
      </c>
      <c r="AE13" s="37" t="n">
        <v>7</v>
      </c>
      <c r="AF13" s="37" t="n">
        <v>8</v>
      </c>
      <c r="AG13" s="37" t="n">
        <v>9</v>
      </c>
      <c r="AH13" s="38" t="n">
        <v>1</v>
      </c>
      <c r="AI13" s="38" t="n">
        <v>2</v>
      </c>
      <c r="AJ13" s="38" t="n">
        <v>3</v>
      </c>
      <c r="AK13" s="38" t="n">
        <v>4</v>
      </c>
      <c r="AL13" s="38" t="n">
        <v>5</v>
      </c>
      <c r="AM13" s="38" t="n">
        <v>6</v>
      </c>
      <c r="AN13" s="38" t="n">
        <v>7</v>
      </c>
      <c r="AO13" s="38" t="n">
        <v>8</v>
      </c>
      <c r="AP13" s="38" t="n">
        <v>9</v>
      </c>
      <c r="AQ13" s="39" t="n">
        <v>1</v>
      </c>
      <c r="AR13" s="39" t="n">
        <v>2</v>
      </c>
      <c r="AS13" s="39" t="n">
        <v>3</v>
      </c>
      <c r="AT13" s="39" t="n">
        <v>4</v>
      </c>
      <c r="AU13" s="39" t="n">
        <v>5</v>
      </c>
      <c r="AV13" s="39" t="n">
        <v>6</v>
      </c>
      <c r="AW13" s="39" t="n">
        <v>7</v>
      </c>
      <c r="AX13" s="39" t="n">
        <v>8</v>
      </c>
      <c r="AY13" s="39" t="n">
        <v>9</v>
      </c>
      <c r="AZ13" s="40" t="n">
        <v>1</v>
      </c>
      <c r="BA13" s="40" t="n">
        <v>2</v>
      </c>
      <c r="BB13" s="40" t="n">
        <v>3</v>
      </c>
      <c r="BC13" s="40" t="n">
        <v>4</v>
      </c>
      <c r="BD13" s="40" t="n">
        <v>5</v>
      </c>
      <c r="BE13" s="40" t="n">
        <v>6</v>
      </c>
      <c r="BF13" s="40" t="n">
        <v>7</v>
      </c>
      <c r="BG13" s="40" t="n">
        <v>8</v>
      </c>
      <c r="BH13" s="40" t="n">
        <v>9</v>
      </c>
      <c r="BI13" s="16"/>
      <c r="BJ13" s="24"/>
    </row>
    <row r="14" customFormat="false" ht="13.95" hidden="false" customHeight="false" outlineLevel="0" collapsed="false">
      <c r="A14" s="24"/>
      <c r="B14" s="5" t="s">
        <v>24</v>
      </c>
      <c r="C14" s="41" t="n">
        <f aca="false">HLOOKUP(C13,'Crop Data'!$B$1:$R$5,2, )</f>
        <v>32</v>
      </c>
      <c r="D14" s="24"/>
      <c r="E14" s="16"/>
      <c r="F14" s="16"/>
      <c r="G14" s="23" t="str">
        <f aca="false">IF(AND(G$15&lt;$C$14,G$16&gt;$C$15),"R",IF(G$15&lt;$C$14,"C","H"))</f>
        <v>R</v>
      </c>
      <c r="H14" s="23" t="str">
        <f aca="false">IF(AND(H$15&lt;$C$14,H$16&gt;$C$15),"R",IF(H$15&lt;$C$14,"C","H"))</f>
        <v>R</v>
      </c>
      <c r="I14" s="23" t="str">
        <f aca="false">IF(AND(I$15&lt;$C$14,I$16&gt;$C$15),"R",IF(I$15&lt;$C$14,"C","H"))</f>
        <v>R</v>
      </c>
      <c r="J14" s="23" t="str">
        <f aca="false">IF(AND(J$15&lt;$C$14,J$16&gt;$C$15),"R",IF(J$15&lt;$C$14,"C","H"))</f>
        <v>R</v>
      </c>
      <c r="K14" s="23" t="str">
        <f aca="false">IF(AND(K$15&lt;$C$14,K$16&gt;$C$15),"R",IF(K$15&lt;$C$14,"C","H"))</f>
        <v>R</v>
      </c>
      <c r="L14" s="23" t="str">
        <f aca="false">IF(AND(L$15&lt;$C$14,L$16&gt;$C$15),"R",IF(L$15&lt;$C$14,"C","H"))</f>
        <v>R</v>
      </c>
      <c r="M14" s="23" t="str">
        <f aca="false">IF(AND(M$15&lt;$C$14,M$16&gt;$C$15),"R",IF(M$15&lt;$C$14,"C","H"))</f>
        <v>R</v>
      </c>
      <c r="N14" s="23" t="str">
        <f aca="false">IF(AND(N$15&lt;$C$14,N$16&gt;$C$15),"R",IF(N$15&lt;$C$14,"C","H"))</f>
        <v>R</v>
      </c>
      <c r="O14" s="23" t="str">
        <f aca="false">IF(AND(O$15&lt;$C$14,O$16&gt;$C$15),"R",IF(O$15&lt;$C$14,"C","H"))</f>
        <v>R</v>
      </c>
      <c r="P14" s="23" t="str">
        <f aca="false">IF(AND(P$15&lt;$C$14,P$16&gt;$C$15),"R",IF(P$15&lt;$C$14,"C","H"))</f>
        <v>R</v>
      </c>
      <c r="Q14" s="23" t="str">
        <f aca="false">IF(AND(Q$15&lt;$C$14,Q$16&gt;$C$15),"R",IF(Q$15&lt;$C$14,"C","H"))</f>
        <v>R</v>
      </c>
      <c r="R14" s="23" t="str">
        <f aca="false">IF(AND(R$15&lt;$C$14,R$16&gt;$C$15),"R",IF(R$15&lt;$C$14,"C","H"))</f>
        <v>R</v>
      </c>
      <c r="S14" s="23" t="str">
        <f aca="false">IF(AND(S$15&lt;$C$14,S$16&gt;$C$15),"R",IF(S$15&lt;$C$14,"C","H"))</f>
        <v>R</v>
      </c>
      <c r="T14" s="23" t="str">
        <f aca="false">IF(AND(T$15&lt;$C$14,T$16&gt;$C$15),"R",IF(T$15&lt;$C$14,"C","H"))</f>
        <v>R</v>
      </c>
      <c r="U14" s="23" t="str">
        <f aca="false">IF(AND(U$15&lt;$C$14,U$16&gt;$C$15),"R",IF(U$15&lt;$C$14,"C","H"))</f>
        <v>R</v>
      </c>
      <c r="V14" s="23" t="str">
        <f aca="false">IF(AND(V$15&lt;$C$14,V$16&gt;$C$15),"R",IF(V$15&lt;$C$14,"C","H"))</f>
        <v>R</v>
      </c>
      <c r="W14" s="23" t="str">
        <f aca="false">IF(AND(W$15&lt;$C$14,W$16&gt;$C$15),"R",IF(W$15&lt;$C$14,"C","H"))</f>
        <v>R</v>
      </c>
      <c r="X14" s="23" t="str">
        <f aca="false">IF(AND(X$15&lt;$C$14,X$16&gt;$C$15),"R",IF(X$15&lt;$C$14,"C","H"))</f>
        <v>R</v>
      </c>
      <c r="Y14" s="23" t="str">
        <f aca="false">IF(AND(Y$15&lt;$C$14,Y$16&gt;$C$15),"R",IF(Y$15&lt;$C$14,"C","H"))</f>
        <v>R</v>
      </c>
      <c r="Z14" s="23" t="str">
        <f aca="false">IF(AND(Z$15&lt;$C$14,Z$16&gt;$C$15),"R",IF(Z$15&lt;$C$14,"C","H"))</f>
        <v>R</v>
      </c>
      <c r="AA14" s="23" t="str">
        <f aca="false">IF(AND(AA$15&lt;$C$14,AA$16&gt;$C$15),"R",IF(AA$15&lt;$C$14,"C","H"))</f>
        <v>R</v>
      </c>
      <c r="AB14" s="23" t="str">
        <f aca="false">IF(AND(AB$15&lt;$C$14,AB$16&gt;$C$15),"R",IF(AB$15&lt;$C$14,"C","H"))</f>
        <v>R</v>
      </c>
      <c r="AC14" s="23" t="str">
        <f aca="false">IF(AND(AC$15&lt;$C$14,AC$16&gt;$C$15),"R",IF(AC$15&lt;$C$14,"C","H"))</f>
        <v>R</v>
      </c>
      <c r="AD14" s="23" t="str">
        <f aca="false">IF(AND(AD$15&lt;$C$14,AD$16&gt;$C$15),"R",IF(AD$15&lt;$C$14,"C","H"))</f>
        <v>R</v>
      </c>
      <c r="AE14" s="23" t="str">
        <f aca="false">IF(AND(AE$15&lt;$C$14,AE$16&gt;$C$15),"R",IF(AE$15&lt;$C$14,"C","H"))</f>
        <v>R</v>
      </c>
      <c r="AF14" s="23" t="str">
        <f aca="false">IF(AND(AF$15&lt;$C$14,AF$16&gt;$C$15),"R",IF(AF$15&lt;$C$14,"C","H"))</f>
        <v>R</v>
      </c>
      <c r="AG14" s="23" t="str">
        <f aca="false">IF(AND(AG$15&lt;$C$14,AG$16&gt;$C$15),"R",IF(AG$15&lt;$C$14,"C","H"))</f>
        <v>R</v>
      </c>
      <c r="AH14" s="23" t="str">
        <f aca="false">IF(AND(AH$15&lt;$C$14,AH$16&gt;$C$15),"R",IF(AH$15&lt;$C$14,"C","H"))</f>
        <v>R</v>
      </c>
      <c r="AI14" s="23" t="str">
        <f aca="false">IF(AND(AI$15&lt;$C$14,AI$16&gt;$C$15),"R",IF(AI$15&lt;$C$14,"C","H"))</f>
        <v>R</v>
      </c>
      <c r="AJ14" s="23" t="str">
        <f aca="false">IF(AND(AJ$15&lt;$C$14,AJ$16&gt;$C$15),"R",IF(AJ$15&lt;$C$14,"C","H"))</f>
        <v>R</v>
      </c>
      <c r="AK14" s="23" t="str">
        <f aca="false">IF(AND(AK$15&lt;$C$14,AK$16&gt;$C$15),"R",IF(AK$15&lt;$C$14,"C","H"))</f>
        <v>R</v>
      </c>
      <c r="AL14" s="23" t="str">
        <f aca="false">IF(AND(AL$15&lt;$C$14,AL$16&gt;$C$15),"R",IF(AL$15&lt;$C$14,"C","H"))</f>
        <v>R</v>
      </c>
      <c r="AM14" s="23" t="str">
        <f aca="false">IF(AND(AM$15&lt;$C$14,AM$16&gt;$C$15),"R",IF(AM$15&lt;$C$14,"C","H"))</f>
        <v>R</v>
      </c>
      <c r="AN14" s="23" t="str">
        <f aca="false">IF(AND(AN$15&lt;$C$14,AN$16&gt;$C$15),"R",IF(AN$15&lt;$C$14,"C","H"))</f>
        <v>R</v>
      </c>
      <c r="AO14" s="23" t="str">
        <f aca="false">IF(AND(AO$15&lt;$C$14,AO$16&gt;$C$15),"R",IF(AO$15&lt;$C$14,"C","H"))</f>
        <v>R</v>
      </c>
      <c r="AP14" s="23" t="str">
        <f aca="false">IF(AND(AP$15&lt;$C$14,AP$16&gt;$C$15),"R",IF(AP$15&lt;$C$14,"C","H"))</f>
        <v>R</v>
      </c>
      <c r="AQ14" s="23" t="str">
        <f aca="false">IF(AND(AQ$15&lt;$C$14,AQ$16&gt;$C$15),"R",IF(AQ$15&lt;$C$14,"C","H"))</f>
        <v>R</v>
      </c>
      <c r="AR14" s="23" t="str">
        <f aca="false">IF(AND(AR$15&lt;$C$14,AR$16&gt;$C$15),"R",IF(AR$15&lt;$C$14,"C","H"))</f>
        <v>R</v>
      </c>
      <c r="AS14" s="23" t="str">
        <f aca="false">IF(AND(AS$15&lt;$C$14,AS$16&gt;$C$15),"R",IF(AS$15&lt;$C$14,"C","H"))</f>
        <v>R</v>
      </c>
      <c r="AT14" s="23" t="str">
        <f aca="false">IF(AND(AT$15&lt;$C$14,AT$16&gt;$C$15),"R",IF(AT$15&lt;$C$14,"C","H"))</f>
        <v>R</v>
      </c>
      <c r="AU14" s="23" t="str">
        <f aca="false">IF(AND(AU$15&lt;$C$14,AU$16&gt;$C$15),"R",IF(AU$15&lt;$C$14,"C","H"))</f>
        <v>R</v>
      </c>
      <c r="AV14" s="23" t="str">
        <f aca="false">IF(AND(AV$15&lt;$C$14,AV$16&gt;$C$15),"R",IF(AV$15&lt;$C$14,"C","H"))</f>
        <v>R</v>
      </c>
      <c r="AW14" s="23" t="str">
        <f aca="false">IF(AND(AW$15&lt;$C$14,AW$16&gt;$C$15),"R",IF(AW$15&lt;$C$14,"C","H"))</f>
        <v>R</v>
      </c>
      <c r="AX14" s="23" t="str">
        <f aca="false">IF(AND(AX$15&lt;$C$14,AX$16&gt;$C$15),"R",IF(AX$15&lt;$C$14,"C","H"))</f>
        <v>R</v>
      </c>
      <c r="AY14" s="23" t="str">
        <f aca="false">IF(AND(AY$15&lt;$C$14,AY$16&gt;$C$15),"R",IF(AY$15&lt;$C$14,"C","H"))</f>
        <v>R</v>
      </c>
      <c r="AZ14" s="23" t="str">
        <f aca="false">IF(AND(AZ$15&lt;$C$14,AZ$16&gt;$C$15),"R",IF(AZ$15&lt;$C$14,"C","H"))</f>
        <v>R</v>
      </c>
      <c r="BA14" s="23" t="str">
        <f aca="false">IF(AND(BA$15&lt;$C$14,BA$16&gt;$C$15),"R",IF(BA$15&lt;$C$14,"C","H"))</f>
        <v>R</v>
      </c>
      <c r="BB14" s="23" t="str">
        <f aca="false">IF(AND(BB$15&lt;$C$14,BB$16&gt;$C$15),"R",IF(BB$15&lt;$C$14,"C","H"))</f>
        <v>C</v>
      </c>
      <c r="BC14" s="23" t="str">
        <f aca="false">IF(AND(BC$15&lt;$C$14,BC$16&gt;$C$15),"R",IF(BC$15&lt;$C$14,"C","H"))</f>
        <v>C</v>
      </c>
      <c r="BD14" s="23" t="str">
        <f aca="false">IF(AND(BD$15&lt;$C$14,BD$16&gt;$C$15),"R",IF(BD$15&lt;$C$14,"C","H"))</f>
        <v>C</v>
      </c>
      <c r="BE14" s="23" t="str">
        <f aca="false">IF(AND(BE$15&lt;$C$14,BE$16&gt;$C$15),"R",IF(BE$15&lt;$C$14,"C","H"))</f>
        <v>C</v>
      </c>
      <c r="BF14" s="23" t="str">
        <f aca="false">IF(AND(BF$15&lt;$C$14,BF$16&gt;$C$15),"R",IF(BF$15&lt;$C$14,"C","H"))</f>
        <v>C</v>
      </c>
      <c r="BG14" s="23" t="str">
        <f aca="false">IF(AND(BG$15&lt;$C$14,BG$16&gt;$C$15),"R",IF(BG$15&lt;$C$14,"C","H"))</f>
        <v>C</v>
      </c>
      <c r="BH14" s="23" t="str">
        <f aca="false">IF(AND(BH$15&lt;$C$14,BH$16&gt;$C$15),"R",IF(BH$15&lt;$C$14,"C","H"))</f>
        <v>C</v>
      </c>
      <c r="BI14" s="9"/>
      <c r="BJ14" s="24"/>
    </row>
    <row r="15" customFormat="false" ht="13.8" hidden="false" customHeight="false" outlineLevel="0" collapsed="false">
      <c r="A15" s="24"/>
      <c r="B15" s="5" t="s">
        <v>25</v>
      </c>
      <c r="C15" s="41" t="n">
        <f aca="false">HLOOKUP(C13,'Crop Data'!$B$1:$R$5,3)</f>
        <v>-10</v>
      </c>
      <c r="D15" s="24"/>
      <c r="E15" s="16"/>
      <c r="F15" s="25" t="s">
        <v>12</v>
      </c>
      <c r="G15" s="26" t="n">
        <f aca="false">'Planting Maths'!BD133</f>
        <v>27.9698879315256</v>
      </c>
      <c r="H15" s="26" t="n">
        <f aca="false">'Planting Maths'!BE133</f>
        <v>28.0199486362528</v>
      </c>
      <c r="I15" s="26" t="n">
        <f aca="false">'Planting Maths'!BF133</f>
        <v>28.0433211420547</v>
      </c>
      <c r="J15" s="26" t="n">
        <f aca="false">'Planting Maths'!BG133</f>
        <v>28.0497455745209</v>
      </c>
      <c r="K15" s="26" t="n">
        <f aca="false">'Planting Maths'!BH133</f>
        <v>28.0497455745209</v>
      </c>
      <c r="L15" s="26" t="n">
        <f aca="false">'Planting Maths'!BI133</f>
        <v>28.0433211420547</v>
      </c>
      <c r="M15" s="26" t="n">
        <f aca="false">'Planting Maths'!BJ133</f>
        <v>28.0199486362527</v>
      </c>
      <c r="N15" s="26" t="n">
        <f aca="false">'Planting Maths'!BK133</f>
        <v>27.9698879315255</v>
      </c>
      <c r="O15" s="26" t="n">
        <f aca="false">'Planting Maths'!BL133</f>
        <v>27.8846474729938</v>
      </c>
      <c r="P15" s="26" t="n">
        <f aca="false">'Planting Maths'!BM133</f>
        <v>27.7569333144183</v>
      </c>
      <c r="Q15" s="26" t="n">
        <f aca="false">'Planting Maths'!BN133</f>
        <v>27.5805981561299</v>
      </c>
      <c r="R15" s="26" t="n">
        <f aca="false">'Planting Maths'!BO133</f>
        <v>27.3505903829606</v>
      </c>
      <c r="S15" s="26" t="n">
        <f aca="false">'Planting Maths'!BP133</f>
        <v>27.0629031021726</v>
      </c>
      <c r="T15" s="26" t="n">
        <f aca="false">'Planting Maths'!BQ133</f>
        <v>26.7145231813895</v>
      </c>
      <c r="U15" s="26" t="n">
        <f aca="false">'Planting Maths'!BR133</f>
        <v>26.3033802865258</v>
      </c>
      <c r="V15" s="26" t="n">
        <f aca="false">'Planting Maths'!BS133</f>
        <v>25.8282959197176</v>
      </c>
      <c r="W15" s="26" t="n">
        <f aca="false">'Planting Maths'!BT133</f>
        <v>25.2889324572526</v>
      </c>
      <c r="X15" s="26" t="n">
        <f aca="false">'Planting Maths'!BU133</f>
        <v>24.6857421875</v>
      </c>
      <c r="Y15" s="26" t="n">
        <f aca="false">'Planting Maths'!BV133</f>
        <v>24.0199163488414</v>
      </c>
      <c r="Z15" s="26" t="n">
        <f aca="false">'Planting Maths'!BW133</f>
        <v>23.2933341676004</v>
      </c>
      <c r="AA15" s="26" t="n">
        <f aca="false">'Planting Maths'!BX133</f>
        <v>22.5085118959731</v>
      </c>
      <c r="AB15" s="26" t="n">
        <f aca="false">'Planting Maths'!BY133</f>
        <v>21.6685518499581</v>
      </c>
      <c r="AC15" s="26" t="n">
        <f aca="false">'Planting Maths'!BZ133</f>
        <v>20.7770914472871</v>
      </c>
      <c r="AD15" s="26" t="n">
        <f aca="false">'Planting Maths'!CA133</f>
        <v>19.8382522453545</v>
      </c>
      <c r="AE15" s="26" t="n">
        <f aca="false">'Planting Maths'!CB133</f>
        <v>18.8565889791482</v>
      </c>
      <c r="AF15" s="26" t="n">
        <f aca="false">'Planting Maths'!CC133</f>
        <v>17.8370385991796</v>
      </c>
      <c r="AG15" s="26" t="n">
        <f aca="false">'Planting Maths'!CD133</f>
        <v>16.7848693094136</v>
      </c>
      <c r="AH15" s="26" t="n">
        <f aca="false">'Planting Maths'!CE133</f>
        <v>15.7056296051989</v>
      </c>
      <c r="AI15" s="26" t="n">
        <f aca="false">'Planting Maths'!CF133</f>
        <v>14.6050973111984</v>
      </c>
      <c r="AJ15" s="26" t="n">
        <f aca="false">'Planting Maths'!CG133</f>
        <v>13.4892286193193</v>
      </c>
      <c r="AK15" s="26" t="n">
        <f aca="false">'Planting Maths'!CH133</f>
        <v>12.3641071266433</v>
      </c>
      <c r="AL15" s="26" t="n">
        <f aca="false">'Planting Maths'!CI133</f>
        <v>11.2358928733567</v>
      </c>
      <c r="AM15" s="26" t="n">
        <f aca="false">'Planting Maths'!CJ133</f>
        <v>10.1107713806807</v>
      </c>
      <c r="AN15" s="26" t="n">
        <f aca="false">'Planting Maths'!CK133</f>
        <v>8.99490268880161</v>
      </c>
      <c r="AO15" s="26" t="n">
        <f aca="false">'Planting Maths'!CL133</f>
        <v>7.89437039480112</v>
      </c>
      <c r="AP15" s="26" t="n">
        <f aca="false">'Planting Maths'!CM133</f>
        <v>6.81513069058644</v>
      </c>
      <c r="AQ15" s="26" t="n">
        <f aca="false">'Planting Maths'!CN133</f>
        <v>5.76296140082036</v>
      </c>
      <c r="AR15" s="26" t="n">
        <f aca="false">'Planting Maths'!CO133</f>
        <v>4.74341102085175</v>
      </c>
      <c r="AS15" s="26" t="n">
        <f aca="false">'Planting Maths'!CP133</f>
        <v>3.7617477546455</v>
      </c>
      <c r="AT15" s="26" t="n">
        <f aca="false">'Planting Maths'!CQ133</f>
        <v>2.82290855271295</v>
      </c>
      <c r="AU15" s="26" t="n">
        <f aca="false">'Planting Maths'!CR133</f>
        <v>1.9314481500419</v>
      </c>
      <c r="AV15" s="26" t="n">
        <f aca="false">'Planting Maths'!CS133</f>
        <v>1.09148810402697</v>
      </c>
      <c r="AW15" s="26" t="n">
        <f aca="false">'Planting Maths'!CT133</f>
        <v>0.306665832399617</v>
      </c>
      <c r="AX15" s="26" t="n">
        <f aca="false">'Planting Maths'!CU133</f>
        <v>-0.419916348841402</v>
      </c>
      <c r="AY15" s="26" t="n">
        <f aca="false">'Planting Maths'!CV133</f>
        <v>-1.0857421875</v>
      </c>
      <c r="AZ15" s="26" t="n">
        <f aca="false">'Planting Maths'!CW133</f>
        <v>-1.68893245725256</v>
      </c>
      <c r="BA15" s="26" t="n">
        <f aca="false">'Planting Maths'!CX133</f>
        <v>-2.22829591971764</v>
      </c>
      <c r="BB15" s="26" t="n">
        <f aca="false">'Planting Maths'!CY133</f>
        <v>-2.7033802865258</v>
      </c>
      <c r="BC15" s="26" t="n">
        <f aca="false">'Planting Maths'!CZ133</f>
        <v>-3.11452318138947</v>
      </c>
      <c r="BD15" s="26" t="n">
        <f aca="false">'Planting Maths'!DA133</f>
        <v>-3.46290310217259</v>
      </c>
      <c r="BE15" s="26" t="n">
        <f aca="false">'Planting Maths'!DB133</f>
        <v>-3.75059038296055</v>
      </c>
      <c r="BF15" s="26" t="n">
        <f aca="false">'Planting Maths'!DC133</f>
        <v>-3.98059815612992</v>
      </c>
      <c r="BG15" s="26" t="n">
        <f aca="false">'Planting Maths'!DD133</f>
        <v>-4.15693331441824</v>
      </c>
      <c r="BH15" s="26" t="n">
        <f aca="false">'Planting Maths'!DE133</f>
        <v>-4.28464747299383</v>
      </c>
      <c r="BI15" s="9"/>
      <c r="BJ15" s="24"/>
    </row>
    <row r="16" customFormat="false" ht="13.8" hidden="false" customHeight="false" outlineLevel="0" collapsed="false">
      <c r="A16" s="24"/>
      <c r="B16" s="5" t="s">
        <v>26</v>
      </c>
      <c r="C16" s="41" t="str">
        <f aca="false">HLOOKUP(C13,'Crop Data'!$B$1:$R$5,4)</f>
        <v>K</v>
      </c>
      <c r="D16" s="24"/>
      <c r="E16" s="16"/>
      <c r="F16" s="25" t="s">
        <v>15</v>
      </c>
      <c r="G16" s="26" t="n">
        <f aca="false">'Planting Maths'!BD132</f>
        <v>20.3698879315256</v>
      </c>
      <c r="H16" s="26" t="n">
        <f aca="false">'Planting Maths'!BE132</f>
        <v>20.4199486362528</v>
      </c>
      <c r="I16" s="26" t="n">
        <f aca="false">'Planting Maths'!BF132</f>
        <v>20.4433211420547</v>
      </c>
      <c r="J16" s="26" t="n">
        <f aca="false">'Planting Maths'!BG132</f>
        <v>20.4497455745209</v>
      </c>
      <c r="K16" s="26" t="n">
        <f aca="false">'Planting Maths'!BH132</f>
        <v>20.4497455745209</v>
      </c>
      <c r="L16" s="26" t="n">
        <f aca="false">'Planting Maths'!BI132</f>
        <v>20.4433211420547</v>
      </c>
      <c r="M16" s="26" t="n">
        <f aca="false">'Planting Maths'!BJ132</f>
        <v>20.4199486362527</v>
      </c>
      <c r="N16" s="26" t="n">
        <f aca="false">'Planting Maths'!BK132</f>
        <v>20.3698879315255</v>
      </c>
      <c r="O16" s="26" t="n">
        <f aca="false">'Planting Maths'!BL132</f>
        <v>20.2846474729938</v>
      </c>
      <c r="P16" s="26" t="n">
        <f aca="false">'Planting Maths'!BM132</f>
        <v>20.1569333144183</v>
      </c>
      <c r="Q16" s="26" t="n">
        <f aca="false">'Planting Maths'!BN132</f>
        <v>19.9805981561299</v>
      </c>
      <c r="R16" s="26" t="n">
        <f aca="false">'Planting Maths'!BO132</f>
        <v>19.7505903829606</v>
      </c>
      <c r="S16" s="26" t="n">
        <f aca="false">'Planting Maths'!BP132</f>
        <v>19.4629031021726</v>
      </c>
      <c r="T16" s="26" t="n">
        <f aca="false">'Planting Maths'!BQ132</f>
        <v>19.1145231813895</v>
      </c>
      <c r="U16" s="26" t="n">
        <f aca="false">'Planting Maths'!BR132</f>
        <v>18.7033802865258</v>
      </c>
      <c r="V16" s="26" t="n">
        <f aca="false">'Planting Maths'!BS132</f>
        <v>18.2282959197176</v>
      </c>
      <c r="W16" s="26" t="n">
        <f aca="false">'Planting Maths'!BT132</f>
        <v>17.6889324572526</v>
      </c>
      <c r="X16" s="26" t="n">
        <f aca="false">'Planting Maths'!BU132</f>
        <v>17.0857421875</v>
      </c>
      <c r="Y16" s="26" t="n">
        <f aca="false">'Planting Maths'!BV132</f>
        <v>16.4199163488414</v>
      </c>
      <c r="Z16" s="26" t="n">
        <f aca="false">'Planting Maths'!BW132</f>
        <v>15.6933341676004</v>
      </c>
      <c r="AA16" s="26" t="n">
        <f aca="false">'Planting Maths'!BX132</f>
        <v>14.9085118959731</v>
      </c>
      <c r="AB16" s="26" t="n">
        <f aca="false">'Planting Maths'!BY132</f>
        <v>14.0685518499581</v>
      </c>
      <c r="AC16" s="26" t="n">
        <f aca="false">'Planting Maths'!BZ132</f>
        <v>13.177091447287</v>
      </c>
      <c r="AD16" s="26" t="n">
        <f aca="false">'Planting Maths'!CA132</f>
        <v>12.2382522453545</v>
      </c>
      <c r="AE16" s="26" t="n">
        <f aca="false">'Planting Maths'!CB132</f>
        <v>11.2565889791482</v>
      </c>
      <c r="AF16" s="26" t="n">
        <f aca="false">'Planting Maths'!CC132</f>
        <v>10.2370385991796</v>
      </c>
      <c r="AG16" s="26" t="n">
        <f aca="false">'Planting Maths'!CD132</f>
        <v>9.1848693094136</v>
      </c>
      <c r="AH16" s="26" t="n">
        <f aca="false">'Planting Maths'!CE132</f>
        <v>8.10562960519888</v>
      </c>
      <c r="AI16" s="26" t="n">
        <f aca="false">'Planting Maths'!CF132</f>
        <v>7.00509731119842</v>
      </c>
      <c r="AJ16" s="26" t="n">
        <f aca="false">'Planting Maths'!CG132</f>
        <v>5.88922861931934</v>
      </c>
      <c r="AK16" s="26" t="n">
        <f aca="false">'Planting Maths'!CH132</f>
        <v>4.76410712664332</v>
      </c>
      <c r="AL16" s="26" t="n">
        <f aca="false">'Planting Maths'!CI132</f>
        <v>3.63589287335668</v>
      </c>
      <c r="AM16" s="26" t="n">
        <f aca="false">'Planting Maths'!CJ132</f>
        <v>2.51077138068065</v>
      </c>
      <c r="AN16" s="26" t="n">
        <f aca="false">'Planting Maths'!CK132</f>
        <v>1.39490268880161</v>
      </c>
      <c r="AO16" s="26" t="n">
        <f aca="false">'Planting Maths'!CL132</f>
        <v>0.294370394801121</v>
      </c>
      <c r="AP16" s="26" t="n">
        <f aca="false">'Planting Maths'!CM132</f>
        <v>-0.784869309413565</v>
      </c>
      <c r="AQ16" s="26" t="n">
        <f aca="false">'Planting Maths'!CN132</f>
        <v>-1.83703859917964</v>
      </c>
      <c r="AR16" s="26" t="n">
        <f aca="false">'Planting Maths'!CO132</f>
        <v>-2.85658897914825</v>
      </c>
      <c r="AS16" s="26" t="n">
        <f aca="false">'Planting Maths'!CP132</f>
        <v>-3.8382522453545</v>
      </c>
      <c r="AT16" s="26" t="n">
        <f aca="false">'Planting Maths'!CQ132</f>
        <v>-4.77709144728705</v>
      </c>
      <c r="AU16" s="26" t="n">
        <f aca="false">'Planting Maths'!CR132</f>
        <v>-5.6685518499581</v>
      </c>
      <c r="AV16" s="26" t="n">
        <f aca="false">'Planting Maths'!CS132</f>
        <v>-6.50851189597303</v>
      </c>
      <c r="AW16" s="26" t="n">
        <f aca="false">'Planting Maths'!CT132</f>
        <v>-7.29333416760038</v>
      </c>
      <c r="AX16" s="26" t="n">
        <f aca="false">'Planting Maths'!CU132</f>
        <v>-8.0199163488414</v>
      </c>
      <c r="AY16" s="26" t="n">
        <f aca="false">'Planting Maths'!CV132</f>
        <v>-8.6857421875</v>
      </c>
      <c r="AZ16" s="26" t="n">
        <f aca="false">'Planting Maths'!CW132</f>
        <v>-9.28893245725256</v>
      </c>
      <c r="BA16" s="26" t="n">
        <f aca="false">'Planting Maths'!CX132</f>
        <v>-9.82829591971764</v>
      </c>
      <c r="BB16" s="26" t="n">
        <f aca="false">'Planting Maths'!CY132</f>
        <v>-10.3033802865258</v>
      </c>
      <c r="BC16" s="26" t="n">
        <f aca="false">'Planting Maths'!CZ132</f>
        <v>-10.7145231813895</v>
      </c>
      <c r="BD16" s="26" t="n">
        <f aca="false">'Planting Maths'!DA132</f>
        <v>-11.0629031021726</v>
      </c>
      <c r="BE16" s="26" t="n">
        <f aca="false">'Planting Maths'!DB132</f>
        <v>-11.3505903829605</v>
      </c>
      <c r="BF16" s="26" t="n">
        <f aca="false">'Planting Maths'!DC132</f>
        <v>-11.5805981561299</v>
      </c>
      <c r="BG16" s="26" t="n">
        <f aca="false">'Planting Maths'!DD132</f>
        <v>-11.7569333144182</v>
      </c>
      <c r="BH16" s="26" t="n">
        <f aca="false">'Planting Maths'!DE132</f>
        <v>-11.8846474729938</v>
      </c>
      <c r="BI16" s="9"/>
      <c r="BJ16" s="24"/>
    </row>
    <row r="17" customFormat="false" ht="13.8" hidden="false" customHeight="false" outlineLevel="0" collapsed="false">
      <c r="A17" s="24"/>
      <c r="B17" s="5" t="s">
        <v>27</v>
      </c>
      <c r="C17" s="41" t="n">
        <f aca="false">HLOOKUP(C13,'Crop Data'!$B$1:$R$5,5)</f>
        <v>10.8</v>
      </c>
      <c r="D17" s="24"/>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24"/>
    </row>
    <row r="18" customFormat="false" ht="13.8" hidden="false" customHeight="false" outlineLevel="0" collapsed="false">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row>
    <row r="19" customFormat="false" ht="13.8" hidden="false" customHeight="true" outlineLevel="0" collapsed="false">
      <c r="A19" s="24"/>
      <c r="B19" s="42" t="s">
        <v>28</v>
      </c>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24"/>
    </row>
    <row r="20" customFormat="false" ht="13.8" hidden="false" customHeight="false" outlineLevel="0" collapsed="false">
      <c r="A20" s="24"/>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24"/>
    </row>
    <row r="21" customFormat="false" ht="13.8" hidden="false" customHeight="false" outlineLevel="0" collapsed="false">
      <c r="A21" s="24"/>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24"/>
    </row>
    <row r="22" customFormat="false" ht="13.8" hidden="false" customHeight="false" outlineLevel="0" collapsed="false">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row>
    <row r="23" customFormat="false" ht="15.75" hidden="false" customHeight="true" outlineLevel="0" collapsed="false">
      <c r="A23" s="24"/>
      <c r="B23" s="43" t="s">
        <v>29</v>
      </c>
      <c r="C23" s="43"/>
      <c r="D23" s="24"/>
    </row>
    <row r="24" customFormat="false" ht="15.75" hidden="false" customHeight="true" outlineLevel="0" collapsed="false">
      <c r="A24" s="24"/>
      <c r="B24" s="24"/>
      <c r="C24" s="24"/>
      <c r="D24" s="24"/>
    </row>
  </sheetData>
  <mergeCells count="15">
    <mergeCell ref="B2:BI3"/>
    <mergeCell ref="G6:O6"/>
    <mergeCell ref="P6:X6"/>
    <mergeCell ref="Y6:AG6"/>
    <mergeCell ref="AH6:AP6"/>
    <mergeCell ref="AQ6:AY6"/>
    <mergeCell ref="AZ6:BH6"/>
    <mergeCell ref="G12:O12"/>
    <mergeCell ref="P12:X12"/>
    <mergeCell ref="Y12:AG12"/>
    <mergeCell ref="AH12:AP12"/>
    <mergeCell ref="AQ12:AY12"/>
    <mergeCell ref="AZ12:BH12"/>
    <mergeCell ref="B19:BI21"/>
    <mergeCell ref="B23:C23"/>
  </mergeCells>
  <conditionalFormatting sqref="G8:BH8 G14:BH14">
    <cfRule type="cellIs" priority="2" operator="equal" aboveAverage="0" equalAverage="0" bottom="0" percent="0" rank="0" text="" dxfId="3">
      <formula>"H"</formula>
    </cfRule>
  </conditionalFormatting>
  <conditionalFormatting sqref="G8:BH8 G14:BH14">
    <cfRule type="cellIs" priority="3" operator="equal" aboveAverage="0" equalAverage="0" bottom="0" percent="0" rank="0" text="" dxfId="4">
      <formula>"C"</formula>
    </cfRule>
  </conditionalFormatting>
  <conditionalFormatting sqref="G14:BH14 G8:BH8">
    <cfRule type="cellIs" priority="4" operator="equal" aboveAverage="0" equalAverage="0" bottom="0" percent="0" rank="0" text="" dxfId="5">
      <formula>"R"</formula>
    </cfRule>
  </conditionalFormatting>
  <dataValidations count="2">
    <dataValidation allowBlank="true" errorStyle="stop" operator="equal" showDropDown="false" showErrorMessage="true" showInputMessage="false" sqref="C10" type="list">
      <formula1>"Yes,No"</formula1>
      <formula2>0</formula2>
    </dataValidation>
    <dataValidation allowBlank="true" errorStyle="stop" operator="equal" showDropDown="false" showErrorMessage="true" showInputMessage="false" sqref="C13" type="list">
      <formula1>"Amaranth,Bell Pepper,Cabbage,Carrot,Cassava,Flax,Onion,Parsnip,Peanut,Pineapple,Pumpkin,Rice,Rye,Soybean,Spelt,Sunflower,Turnip"</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B5" activeCellId="0" sqref="B5"/>
    </sheetView>
  </sheetViews>
  <sheetFormatPr defaultColWidth="11.53515625" defaultRowHeight="15.75" customHeight="true" zeroHeight="false" outlineLevelRow="0" outlineLevelCol="0"/>
  <cols>
    <col collapsed="false" customWidth="true" hidden="false" outlineLevel="0" max="1024" min="1" style="0" width="12.64"/>
  </cols>
  <sheetData>
    <row r="1" customFormat="false" ht="13.8" hidden="false" customHeight="false" outlineLevel="0" collapsed="false">
      <c r="A1" s="44"/>
      <c r="B1" s="44" t="s">
        <v>30</v>
      </c>
      <c r="C1" s="44" t="s">
        <v>31</v>
      </c>
      <c r="D1" s="44" t="s">
        <v>32</v>
      </c>
      <c r="E1" s="44" t="s">
        <v>23</v>
      </c>
      <c r="F1" s="44" t="s">
        <v>33</v>
      </c>
      <c r="G1" s="44" t="s">
        <v>34</v>
      </c>
      <c r="H1" s="44" t="s">
        <v>35</v>
      </c>
      <c r="I1" s="44" t="s">
        <v>36</v>
      </c>
      <c r="J1" s="44" t="s">
        <v>37</v>
      </c>
      <c r="K1" s="44" t="s">
        <v>38</v>
      </c>
      <c r="L1" s="44" t="s">
        <v>39</v>
      </c>
      <c r="M1" s="44" t="s">
        <v>40</v>
      </c>
      <c r="N1" s="44" t="s">
        <v>41</v>
      </c>
      <c r="O1" s="44" t="s">
        <v>42</v>
      </c>
      <c r="P1" s="44" t="s">
        <v>43</v>
      </c>
      <c r="Q1" s="44" t="s">
        <v>44</v>
      </c>
      <c r="R1" s="44" t="s">
        <v>45</v>
      </c>
    </row>
    <row r="2" customFormat="false" ht="13.8" hidden="false" customHeight="false" outlineLevel="0" collapsed="false">
      <c r="A2" s="44" t="s">
        <v>46</v>
      </c>
      <c r="B2" s="44" t="n">
        <v>42</v>
      </c>
      <c r="C2" s="44" t="n">
        <v>34</v>
      </c>
      <c r="D2" s="44" t="n">
        <v>35</v>
      </c>
      <c r="E2" s="44" t="n">
        <v>32</v>
      </c>
      <c r="F2" s="44" t="n">
        <v>44</v>
      </c>
      <c r="G2" s="44" t="n">
        <v>40</v>
      </c>
      <c r="H2" s="44" t="n">
        <v>40</v>
      </c>
      <c r="I2" s="44" t="n">
        <v>32</v>
      </c>
      <c r="J2" s="44" t="n">
        <v>42</v>
      </c>
      <c r="K2" s="44" t="n">
        <v>48</v>
      </c>
      <c r="L2" s="44" t="n">
        <v>40</v>
      </c>
      <c r="M2" s="44" t="n">
        <v>46</v>
      </c>
      <c r="N2" s="44" t="n">
        <v>27</v>
      </c>
      <c r="O2" s="44" t="n">
        <v>40</v>
      </c>
      <c r="P2" s="44" t="n">
        <v>40</v>
      </c>
      <c r="Q2" s="44" t="n">
        <v>40</v>
      </c>
      <c r="R2" s="44" t="n">
        <v>27</v>
      </c>
    </row>
    <row r="3" customFormat="false" ht="13.8" hidden="false" customHeight="false" outlineLevel="0" collapsed="false">
      <c r="A3" s="44" t="s">
        <v>47</v>
      </c>
      <c r="B3" s="44" t="n">
        <v>6</v>
      </c>
      <c r="C3" s="44" t="n">
        <v>8</v>
      </c>
      <c r="D3" s="44" t="n">
        <v>-5</v>
      </c>
      <c r="E3" s="44" t="n">
        <v>-10</v>
      </c>
      <c r="F3" s="44" t="n">
        <v>4</v>
      </c>
      <c r="G3" s="44" t="n">
        <v>-5</v>
      </c>
      <c r="H3" s="44" t="n">
        <v>-1</v>
      </c>
      <c r="I3" s="44" t="n">
        <v>-10</v>
      </c>
      <c r="J3" s="44" t="n">
        <v>10</v>
      </c>
      <c r="K3" s="44" t="n">
        <v>6</v>
      </c>
      <c r="L3" s="44" t="n">
        <v>-5</v>
      </c>
      <c r="M3" s="44" t="n">
        <v>8</v>
      </c>
      <c r="N3" s="44" t="n">
        <v>-12</v>
      </c>
      <c r="O3" s="44" t="n">
        <v>-5</v>
      </c>
      <c r="P3" s="44" t="n">
        <v>-5</v>
      </c>
      <c r="Q3" s="44" t="n">
        <v>-5</v>
      </c>
      <c r="R3" s="44" t="n">
        <v>-5</v>
      </c>
    </row>
    <row r="4" customFormat="false" ht="13.8" hidden="false" customHeight="false" outlineLevel="0" collapsed="false">
      <c r="A4" s="44" t="s">
        <v>48</v>
      </c>
      <c r="B4" s="45" t="s">
        <v>49</v>
      </c>
      <c r="C4" s="45" t="s">
        <v>49</v>
      </c>
      <c r="D4" s="45" t="s">
        <v>49</v>
      </c>
      <c r="E4" s="45" t="s">
        <v>50</v>
      </c>
      <c r="F4" s="45" t="s">
        <v>50</v>
      </c>
      <c r="G4" s="45" t="s">
        <v>50</v>
      </c>
      <c r="H4" s="45" t="s">
        <v>51</v>
      </c>
      <c r="I4" s="45" t="s">
        <v>51</v>
      </c>
      <c r="J4" s="45" t="s">
        <v>51</v>
      </c>
      <c r="K4" s="45" t="s">
        <v>49</v>
      </c>
      <c r="L4" s="45" t="s">
        <v>51</v>
      </c>
      <c r="M4" s="45" t="s">
        <v>50</v>
      </c>
      <c r="N4" s="45" t="s">
        <v>49</v>
      </c>
      <c r="O4" s="45" t="s">
        <v>50</v>
      </c>
      <c r="P4" s="45" t="s">
        <v>49</v>
      </c>
      <c r="Q4" s="45" t="s">
        <v>49</v>
      </c>
      <c r="R4" s="45" t="s">
        <v>49</v>
      </c>
      <c r="S4" s="45"/>
      <c r="T4" s="45"/>
      <c r="U4" s="45"/>
      <c r="V4" s="45"/>
      <c r="W4" s="45"/>
      <c r="X4" s="45"/>
      <c r="Y4" s="45"/>
      <c r="Z4" s="45"/>
      <c r="AA4" s="45"/>
    </row>
    <row r="5" customFormat="false" ht="13.8" hidden="false" customHeight="false" outlineLevel="0" collapsed="false">
      <c r="A5" s="44" t="s">
        <v>52</v>
      </c>
      <c r="B5" s="44" t="n">
        <v>18</v>
      </c>
      <c r="C5" s="44" t="n">
        <v>19.8</v>
      </c>
      <c r="D5" s="44" t="n">
        <v>13.5</v>
      </c>
      <c r="E5" s="44" t="n">
        <v>10.8</v>
      </c>
      <c r="F5" s="44" t="n">
        <v>45</v>
      </c>
      <c r="G5" s="44" t="n">
        <v>18</v>
      </c>
      <c r="H5" s="44" t="n">
        <v>16.65</v>
      </c>
      <c r="I5" s="44" t="n">
        <v>18</v>
      </c>
      <c r="J5" s="44" t="n">
        <v>22.5</v>
      </c>
      <c r="K5" s="44" t="n">
        <v>54</v>
      </c>
      <c r="L5" s="44" t="n">
        <v>15.3</v>
      </c>
      <c r="M5" s="44" t="n">
        <v>20.25</v>
      </c>
      <c r="N5" s="44" t="n">
        <v>18</v>
      </c>
      <c r="O5" s="44" t="n">
        <v>11.25</v>
      </c>
      <c r="P5" s="44" t="n">
        <v>18</v>
      </c>
      <c r="Q5" s="44" t="n">
        <v>16.65</v>
      </c>
      <c r="R5" s="44" t="n">
        <v>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E312"/>
  <sheetViews>
    <sheetView showFormulas="false" showGridLines="true" showRowColHeaders="true" showZeros="true" rightToLeft="false" tabSelected="false" showOutlineSymbols="true" defaultGridColor="true" view="normal" topLeftCell="A103" colorId="64" zoomScale="130" zoomScaleNormal="130" zoomScalePageLayoutView="100" workbookViewId="0">
      <selection pane="topLeft" activeCell="B132" activeCellId="0" sqref="B132"/>
    </sheetView>
  </sheetViews>
  <sheetFormatPr defaultColWidth="11.53515625" defaultRowHeight="15.75" customHeight="true" zeroHeight="false" outlineLevelRow="0" outlineLevelCol="0"/>
  <cols>
    <col collapsed="false" customWidth="true" hidden="false" outlineLevel="0" max="1024" min="1" style="0" width="12.64"/>
  </cols>
  <sheetData>
    <row r="1" customFormat="false" ht="13.8" hidden="false" customHeight="false" outlineLevel="0" collapsed="false">
      <c r="A1" s="45" t="n">
        <f aca="false">'Planting Calc'!C5</f>
        <v>3</v>
      </c>
      <c r="B1" s="46" t="s">
        <v>53</v>
      </c>
      <c r="E1" s="46" t="s">
        <v>54</v>
      </c>
      <c r="F1" s="47" t="n">
        <f aca="false">A1</f>
        <v>3</v>
      </c>
    </row>
    <row r="2" customFormat="false" ht="13.8" hidden="false" customHeight="false" outlineLevel="0" collapsed="false">
      <c r="A2" s="45" t="n">
        <f aca="false">'Planting Calc'!C6</f>
        <v>45</v>
      </c>
      <c r="B2" s="46" t="s">
        <v>55</v>
      </c>
      <c r="E2" s="46"/>
      <c r="F2" s="47" t="n">
        <f aca="false">A2/90</f>
        <v>0.5</v>
      </c>
      <c r="J2" s="44" t="s">
        <v>22</v>
      </c>
      <c r="K2" s="44" t="s">
        <v>56</v>
      </c>
      <c r="L2" s="44" t="s">
        <v>57</v>
      </c>
      <c r="M2" s="44" t="s">
        <v>58</v>
      </c>
      <c r="N2" s="44" t="s">
        <v>59</v>
      </c>
      <c r="O2" s="44" t="s">
        <v>60</v>
      </c>
      <c r="P2" s="44" t="s">
        <v>61</v>
      </c>
      <c r="Q2" s="44" t="s">
        <v>62</v>
      </c>
      <c r="R2" s="44" t="s">
        <v>63</v>
      </c>
    </row>
    <row r="3" customFormat="false" ht="13.8" hidden="false" customHeight="false" outlineLevel="0" collapsed="false">
      <c r="A3" s="46"/>
      <c r="B3" s="46" t="s">
        <v>64</v>
      </c>
      <c r="E3" s="46"/>
      <c r="F3" s="47" t="n">
        <f aca="false">ABS(F2)*65</f>
        <v>32.5</v>
      </c>
      <c r="J3" s="44" t="s">
        <v>34</v>
      </c>
      <c r="K3" s="44" t="n">
        <v>-5</v>
      </c>
      <c r="L3" s="44" t="n">
        <v>40</v>
      </c>
      <c r="M3" s="47" t="n">
        <f aca="false" t="array" ref="M3:M3">INDEX(A17:A124, MATCH(1, G17:G124 &gt; K3, 0))</f>
        <v>4</v>
      </c>
      <c r="N3" s="47" t="n">
        <f aca="false" t="array" ref="N3:N3">INDEX(B17:B124, MATCH(1, G17:G124 &gt; K3, 0))</f>
        <v>1</v>
      </c>
    </row>
    <row r="4" customFormat="false" ht="13.8" hidden="false" customHeight="false" outlineLevel="0" collapsed="false">
      <c r="A4" s="46"/>
      <c r="B4" s="46"/>
      <c r="E4" s="46" t="s">
        <v>54</v>
      </c>
      <c r="F4" s="47" t="n">
        <f aca="false">F1-F3/2</f>
        <v>-13.25</v>
      </c>
      <c r="L4" s="44" t="n">
        <v>4</v>
      </c>
    </row>
    <row r="5" customFormat="false" ht="13.8" hidden="false" customHeight="false" outlineLevel="0" collapsed="false">
      <c r="A5" s="46"/>
      <c r="B5" s="46" t="s">
        <v>65</v>
      </c>
      <c r="E5" s="46"/>
      <c r="K5" s="44" t="n">
        <v>3</v>
      </c>
    </row>
    <row r="6" customFormat="false" ht="13.8" hidden="false" customHeight="false" outlineLevel="0" collapsed="false">
      <c r="A6" s="46"/>
      <c r="B6" s="46" t="s">
        <v>66</v>
      </c>
      <c r="C6" s="47" t="n">
        <f aca="false">((A7-1)*9+(A8))/108</f>
        <v>0.009259259259</v>
      </c>
      <c r="E6" s="46"/>
      <c r="K6" s="44" t="n">
        <v>2</v>
      </c>
    </row>
    <row r="7" customFormat="false" ht="13.8" hidden="false" customHeight="false" outlineLevel="0" collapsed="false">
      <c r="A7" s="45" t="n">
        <v>1</v>
      </c>
      <c r="B7" s="46" t="s">
        <v>67</v>
      </c>
      <c r="C7" s="47" t="n">
        <f aca="false">MIN(ABS(C6*12-0.5),12-ABS(C6*12-0.5))</f>
        <v>0.3888888889</v>
      </c>
      <c r="D7" s="47" t="n">
        <f aca="false">C7/6</f>
        <v>0.06481481481</v>
      </c>
      <c r="E7" s="46"/>
      <c r="K7" s="44" t="n">
        <v>1</v>
      </c>
    </row>
    <row r="8" customFormat="false" ht="13.8" hidden="false" customHeight="false" outlineLevel="0" collapsed="false">
      <c r="A8" s="48" t="n">
        <v>1</v>
      </c>
      <c r="B8" s="46" t="s">
        <v>68</v>
      </c>
      <c r="D8" s="47" t="n">
        <f aca="false">6*D7^5-15*D7^4+10*D7^3</f>
        <v>0.002464986722</v>
      </c>
      <c r="E8" s="46"/>
      <c r="F8" s="47" t="n">
        <f aca="false">D8*F3</f>
        <v>0.080112068465</v>
      </c>
      <c r="K8" s="44" t="n">
        <v>0</v>
      </c>
    </row>
    <row r="9" customFormat="false" ht="13.8" hidden="false" customHeight="false" outlineLevel="0" collapsed="false">
      <c r="A9" s="46"/>
      <c r="B9" s="46"/>
      <c r="E9" s="46" t="s">
        <v>54</v>
      </c>
      <c r="F9" s="47" t="n">
        <f aca="false">F4+F8</f>
        <v>-13.169887931535</v>
      </c>
      <c r="K9" s="44" t="n">
        <v>-1</v>
      </c>
    </row>
    <row r="10" customFormat="false" ht="13.8" hidden="false" customHeight="false" outlineLevel="0" collapsed="false">
      <c r="A10" s="45" t="n">
        <f aca="false">'Planting Calc'!C7</f>
        <v>0.8</v>
      </c>
      <c r="B10" s="46" t="s">
        <v>69</v>
      </c>
      <c r="E10" s="46"/>
      <c r="F10" s="47" t="n">
        <f aca="false">18-(A10*13)</f>
        <v>7.6</v>
      </c>
      <c r="K10" s="44" t="n">
        <v>-2</v>
      </c>
    </row>
    <row r="11" customFormat="false" ht="13.8" hidden="false" customHeight="false" outlineLevel="0" collapsed="false">
      <c r="A11" s="45" t="n">
        <v>12</v>
      </c>
      <c r="B11" s="46" t="s">
        <v>70</v>
      </c>
      <c r="C11" s="47" t="n">
        <f aca="false">MIN(ABS(4-(A11)),24-ABS(4-(A11)))</f>
        <v>8</v>
      </c>
      <c r="D11" s="47" t="n">
        <f aca="false">C11/12</f>
        <v>0.6666666667</v>
      </c>
      <c r="E11" s="46"/>
      <c r="K11" s="44" t="n">
        <v>-3</v>
      </c>
    </row>
    <row r="12" customFormat="false" ht="13.8" hidden="false" customHeight="false" outlineLevel="0" collapsed="false">
      <c r="A12" s="46"/>
      <c r="B12" s="46" t="s">
        <v>71</v>
      </c>
      <c r="D12" s="47" t="n">
        <f aca="false">6*D11^5-15*D11^4+10*D11^3</f>
        <v>0.7901234568</v>
      </c>
      <c r="E12" s="46" t="s">
        <v>54</v>
      </c>
      <c r="F12" s="47" t="n">
        <f aca="false">F9+((D12-0.5)*F10)</f>
        <v>-10.964949659855</v>
      </c>
      <c r="L12" s="44" t="n">
        <v>-4</v>
      </c>
    </row>
    <row r="15" customFormat="false" ht="13.8" hidden="false" customHeight="false" outlineLevel="0" collapsed="false">
      <c r="G15" s="44" t="s">
        <v>72</v>
      </c>
      <c r="J15" s="44" t="s">
        <v>73</v>
      </c>
      <c r="L15" s="44"/>
      <c r="M15" s="44"/>
      <c r="N15" s="44" t="s">
        <v>74</v>
      </c>
      <c r="W15" s="44" t="n">
        <v>50</v>
      </c>
    </row>
    <row r="16" customFormat="false" ht="13.8" hidden="false" customHeight="false" outlineLevel="0" collapsed="false">
      <c r="A16" s="44" t="s">
        <v>75</v>
      </c>
      <c r="B16" s="44" t="s">
        <v>76</v>
      </c>
      <c r="C16" s="44" t="s">
        <v>66</v>
      </c>
      <c r="D16" s="44" t="s">
        <v>77</v>
      </c>
      <c r="E16" s="44" t="s">
        <v>78</v>
      </c>
      <c r="F16" s="44" t="s">
        <v>79</v>
      </c>
      <c r="G16" s="44" t="n">
        <v>4</v>
      </c>
      <c r="H16" s="44" t="n">
        <v>16</v>
      </c>
      <c r="J16" s="44" t="n">
        <v>4</v>
      </c>
      <c r="K16" s="44" t="n">
        <v>16</v>
      </c>
      <c r="L16" s="44"/>
      <c r="M16" s="44"/>
      <c r="N16" s="44" t="n">
        <v>4</v>
      </c>
      <c r="O16" s="44" t="n">
        <v>16</v>
      </c>
      <c r="R16" s="44" t="n">
        <v>4</v>
      </c>
      <c r="S16" s="44" t="n">
        <v>16</v>
      </c>
      <c r="U16" s="44" t="s">
        <v>75</v>
      </c>
      <c r="V16" s="44" t="s">
        <v>76</v>
      </c>
      <c r="W16" s="44" t="n">
        <v>4</v>
      </c>
      <c r="X16" s="44" t="n">
        <v>16</v>
      </c>
    </row>
    <row r="17" customFormat="false" ht="13.8" hidden="false" customHeight="false" outlineLevel="0" collapsed="false">
      <c r="A17" s="44" t="n">
        <v>1</v>
      </c>
      <c r="B17" s="44" t="n">
        <v>1</v>
      </c>
      <c r="C17" s="47" t="n">
        <f aca="false">((A17-1)*9+(B17))/108</f>
        <v>0.00925925925925926</v>
      </c>
      <c r="D17" s="47" t="n">
        <f aca="false">MIN(ABS(C17*12-0.5),12-ABS(C17*12-0.5))/6</f>
        <v>0.0648148148148148</v>
      </c>
      <c r="E17" s="47" t="n">
        <f aca="false">6*D17^5-15*D17^4+10*D17^3</f>
        <v>0.00246498672229007</v>
      </c>
      <c r="F17" s="47" t="n">
        <f aca="false">E17*F$3</f>
        <v>0.0801120684744273</v>
      </c>
      <c r="G17" s="47" t="n">
        <f aca="false">$F$4+F17+(-0.5*$F$10)</f>
        <v>-16.9698879315256</v>
      </c>
      <c r="H17" s="47" t="n">
        <f aca="false">$F$4+F17+(0.5*$F$10)</f>
        <v>-9.36988793152557</v>
      </c>
      <c r="J17" s="44" t="n">
        <v>-16.1</v>
      </c>
      <c r="K17" s="44" t="n">
        <v>-8.8</v>
      </c>
      <c r="L17" s="44" t="n">
        <f aca="false">G17-J17</f>
        <v>-0.869887931525572</v>
      </c>
      <c r="M17" s="44" t="n">
        <f aca="false">H17-K17</f>
        <v>-0.569887931525571</v>
      </c>
      <c r="N17" s="44" t="n">
        <v>-23.55502</v>
      </c>
      <c r="O17" s="44" t="n">
        <v>-5.273496</v>
      </c>
      <c r="P17" s="47" t="n">
        <f aca="false">G17-N17</f>
        <v>6.58513206847443</v>
      </c>
      <c r="Q17" s="47" t="n">
        <f aca="false">H17-O17</f>
        <v>-4.09639193152557</v>
      </c>
      <c r="R17" s="47" t="n">
        <f aca="false">J17-N17</f>
        <v>7.45502</v>
      </c>
      <c r="S17" s="47" t="n">
        <f aca="false">K17-O17</f>
        <v>-3.526504</v>
      </c>
      <c r="U17" s="44" t="n">
        <v>1</v>
      </c>
      <c r="V17" s="44" t="n">
        <v>1</v>
      </c>
    </row>
    <row r="18" customFormat="false" ht="13.8" hidden="false" customHeight="false" outlineLevel="0" collapsed="false">
      <c r="A18" s="44" t="n">
        <v>1</v>
      </c>
      <c r="B18" s="44" t="n">
        <v>2</v>
      </c>
      <c r="C18" s="47" t="n">
        <f aca="false">((A18-1)*9+(B18))/108</f>
        <v>0.0185185185185185</v>
      </c>
      <c r="D18" s="47" t="n">
        <f aca="false">MIN(ABS(C18*12-0.5),12-ABS(C18*12-0.5))/6</f>
        <v>0.0462962962962963</v>
      </c>
      <c r="E18" s="47" t="n">
        <f aca="false">6*D18^5-15*D18^4+10*D18^3</f>
        <v>0.000924657346069983</v>
      </c>
      <c r="F18" s="47" t="n">
        <f aca="false">E18*F$3</f>
        <v>0.0300513637472744</v>
      </c>
      <c r="G18" s="47" t="n">
        <f aca="false">$F$4+F18+(-0.5*$F$10)</f>
        <v>-17.0199486362527</v>
      </c>
      <c r="H18" s="47" t="n">
        <f aca="false">$F$4+F18+(0.5*$F$10)</f>
        <v>-9.41994863625273</v>
      </c>
      <c r="J18" s="44" t="n">
        <v>-16.2</v>
      </c>
      <c r="K18" s="44" t="n">
        <v>-8.5</v>
      </c>
      <c r="L18" s="44" t="n">
        <f aca="false">G18-J18</f>
        <v>-0.819948636252725</v>
      </c>
      <c r="M18" s="44" t="n">
        <f aca="false">H18-K18</f>
        <v>-0.919948636252727</v>
      </c>
      <c r="N18" s="44" t="n">
        <v>-22.688868</v>
      </c>
      <c r="O18" s="44" t="n">
        <v>-6.099039</v>
      </c>
      <c r="P18" s="47" t="n">
        <f aca="false">G18-N18</f>
        <v>5.66891936374728</v>
      </c>
      <c r="Q18" s="47" t="n">
        <f aca="false">H18-O18</f>
        <v>-3.32090963625273</v>
      </c>
      <c r="R18" s="47" t="n">
        <f aca="false">J18-N18</f>
        <v>6.488868</v>
      </c>
      <c r="S18" s="47" t="n">
        <f aca="false">K18-O18</f>
        <v>-2.400961</v>
      </c>
      <c r="U18" s="44" t="n">
        <v>1</v>
      </c>
      <c r="V18" s="44" t="n">
        <v>2</v>
      </c>
    </row>
    <row r="19" customFormat="false" ht="13.8" hidden="false" customHeight="false" outlineLevel="0" collapsed="false">
      <c r="A19" s="44" t="n">
        <v>1</v>
      </c>
      <c r="B19" s="44" t="n">
        <v>3</v>
      </c>
      <c r="C19" s="47" t="n">
        <f aca="false">((A19-1)*9+(B19))/108</f>
        <v>0.0277777777777778</v>
      </c>
      <c r="D19" s="47" t="n">
        <f aca="false">MIN(ABS(C19*12-0.5),12-ABS(C19*12-0.5))/6</f>
        <v>0.0277777777777778</v>
      </c>
      <c r="E19" s="47" t="n">
        <f aca="false">6*D19^5-15*D19^4+10*D19^3</f>
        <v>0.000205503321394096</v>
      </c>
      <c r="F19" s="47" t="n">
        <f aca="false">E19*F$3</f>
        <v>0.00667885794530812</v>
      </c>
      <c r="G19" s="47" t="n">
        <f aca="false">$F$4+F19+(-0.5*$F$10)</f>
        <v>-17.0433211420547</v>
      </c>
      <c r="H19" s="47" t="n">
        <f aca="false">$F$4+F19+(0.5*$F$10)</f>
        <v>-9.44332114205469</v>
      </c>
      <c r="J19" s="44" t="n">
        <v>-17.8</v>
      </c>
      <c r="K19" s="44" t="n">
        <v>-7.3</v>
      </c>
      <c r="L19" s="44" t="n">
        <f aca="false">G19-J19</f>
        <v>0.75667885794531</v>
      </c>
      <c r="M19" s="44" t="n">
        <f aca="false">H19-K19</f>
        <v>-2.14332114205469</v>
      </c>
      <c r="N19" s="44" t="n">
        <v>-22.57214</v>
      </c>
      <c r="O19" s="44" t="n">
        <v>-3.966759</v>
      </c>
      <c r="P19" s="47" t="n">
        <f aca="false">G19-N19</f>
        <v>5.52881885794531</v>
      </c>
      <c r="Q19" s="47" t="n">
        <f aca="false">H19-O19</f>
        <v>-5.47656214205469</v>
      </c>
      <c r="R19" s="47" t="n">
        <f aca="false">J19-N19</f>
        <v>4.77214</v>
      </c>
      <c r="S19" s="47" t="n">
        <f aca="false">K19-O19</f>
        <v>-3.333241</v>
      </c>
      <c r="U19" s="44" t="n">
        <v>1</v>
      </c>
      <c r="V19" s="44" t="n">
        <v>3</v>
      </c>
    </row>
    <row r="20" customFormat="false" ht="13.8" hidden="false" customHeight="false" outlineLevel="0" collapsed="false">
      <c r="A20" s="44" t="n">
        <v>1</v>
      </c>
      <c r="B20" s="44" t="n">
        <v>4</v>
      </c>
      <c r="C20" s="47" t="n">
        <f aca="false">((A20-1)*9+(B20))/108</f>
        <v>0.037037037037037</v>
      </c>
      <c r="D20" s="47" t="n">
        <f aca="false">MIN(ABS(C20*12-0.5),12-ABS(C20*12-0.5))/6</f>
        <v>0.00925925925925926</v>
      </c>
      <c r="E20" s="47" t="n">
        <f aca="false">6*D20^5-15*D20^4+10*D20^3</f>
        <v>7.82847628220046E-006</v>
      </c>
      <c r="F20" s="47" t="n">
        <f aca="false">E20*F$3</f>
        <v>0.000254425479171515</v>
      </c>
      <c r="G20" s="47" t="n">
        <f aca="false">$F$4+F20+(-0.5*$F$10)</f>
        <v>-17.0497455745208</v>
      </c>
      <c r="H20" s="47" t="n">
        <f aca="false">$F$4+F20+(0.5*$F$10)</f>
        <v>-9.44974557452083</v>
      </c>
      <c r="J20" s="44" t="n">
        <v>-17</v>
      </c>
      <c r="K20" s="44" t="n">
        <v>-7.6</v>
      </c>
      <c r="L20" s="44" t="n">
        <f aca="false">G20-J20</f>
        <v>-0.0497455745208271</v>
      </c>
      <c r="M20" s="44" t="n">
        <f aca="false">H20-K20</f>
        <v>-1.84974557452083</v>
      </c>
      <c r="N20" s="44" t="n">
        <v>-22.45352</v>
      </c>
      <c r="O20" s="44" t="n">
        <v>-5.010637</v>
      </c>
      <c r="P20" s="47" t="n">
        <f aca="false">G20-N20</f>
        <v>5.40377442547917</v>
      </c>
      <c r="Q20" s="47" t="n">
        <f aca="false">H20-O20</f>
        <v>-4.43910857452083</v>
      </c>
      <c r="R20" s="47" t="n">
        <f aca="false">J20-N20</f>
        <v>5.45352</v>
      </c>
      <c r="S20" s="47" t="n">
        <f aca="false">K20-O20</f>
        <v>-2.589363</v>
      </c>
      <c r="U20" s="44" t="n">
        <v>1</v>
      </c>
      <c r="V20" s="44" t="n">
        <v>4</v>
      </c>
    </row>
    <row r="21" customFormat="false" ht="13.8" hidden="false" customHeight="false" outlineLevel="0" collapsed="false">
      <c r="A21" s="44" t="n">
        <v>1</v>
      </c>
      <c r="B21" s="44" t="n">
        <v>5</v>
      </c>
      <c r="C21" s="47" t="n">
        <f aca="false">((A21-1)*9+(B21))/108</f>
        <v>0.0462962962962963</v>
      </c>
      <c r="D21" s="47" t="n">
        <f aca="false">MIN(ABS(C21*12-0.5),12-ABS(C21*12-0.5))/6</f>
        <v>0.00925925925925926</v>
      </c>
      <c r="E21" s="47" t="n">
        <f aca="false">6*D21^5-15*D21^4+10*D21^3</f>
        <v>7.82847628220046E-006</v>
      </c>
      <c r="F21" s="47" t="n">
        <f aca="false">E21*F$3</f>
        <v>0.000254425479171515</v>
      </c>
      <c r="G21" s="47" t="n">
        <f aca="false">$F$4+F21+(-0.5*$F$10)</f>
        <v>-17.0497455745208</v>
      </c>
      <c r="H21" s="47" t="n">
        <f aca="false">$F$4+F21+(0.5*$F$10)</f>
        <v>-9.44974557452083</v>
      </c>
      <c r="J21" s="44" t="n">
        <v>-17.5</v>
      </c>
      <c r="K21" s="44" t="n">
        <v>-8.7</v>
      </c>
      <c r="L21" s="44" t="n">
        <f aca="false">G21-J21</f>
        <v>0.450254425479173</v>
      </c>
      <c r="M21" s="44" t="n">
        <f aca="false">H21-K21</f>
        <v>-0.74974557452083</v>
      </c>
      <c r="N21" s="44" t="n">
        <v>-24.627691</v>
      </c>
      <c r="O21" s="44" t="n">
        <v>-4.686217</v>
      </c>
      <c r="P21" s="47" t="n">
        <f aca="false">G21-N21</f>
        <v>7.57794542547917</v>
      </c>
      <c r="Q21" s="47" t="n">
        <f aca="false">H21-O21</f>
        <v>-4.76352857452083</v>
      </c>
      <c r="R21" s="47" t="n">
        <f aca="false">J21-N21</f>
        <v>7.127691</v>
      </c>
      <c r="S21" s="47" t="n">
        <f aca="false">K21-O21</f>
        <v>-4.013783</v>
      </c>
      <c r="U21" s="44" t="n">
        <v>1</v>
      </c>
      <c r="V21" s="44" t="n">
        <v>5</v>
      </c>
    </row>
    <row r="22" customFormat="false" ht="13.8" hidden="false" customHeight="false" outlineLevel="0" collapsed="false">
      <c r="A22" s="44" t="n">
        <v>1</v>
      </c>
      <c r="B22" s="44" t="n">
        <v>6</v>
      </c>
      <c r="C22" s="47" t="n">
        <f aca="false">((A22-1)*9+(B22))/108</f>
        <v>0.0555555555555556</v>
      </c>
      <c r="D22" s="47" t="n">
        <f aca="false">MIN(ABS(C22*12-0.5),12-ABS(C22*12-0.5))/6</f>
        <v>0.0277777777777778</v>
      </c>
      <c r="E22" s="47" t="n">
        <f aca="false">6*D22^5-15*D22^4+10*D22^3</f>
        <v>0.000205503321394096</v>
      </c>
      <c r="F22" s="47" t="n">
        <f aca="false">E22*F$3</f>
        <v>0.00667885794530812</v>
      </c>
      <c r="G22" s="47" t="n">
        <f aca="false">$F$4+F22+(-0.5*$F$10)</f>
        <v>-17.0433211420547</v>
      </c>
      <c r="H22" s="47" t="n">
        <f aca="false">$F$4+F22+(0.5*$F$10)</f>
        <v>-9.44332114205469</v>
      </c>
      <c r="J22" s="44" t="n">
        <v>-16.3</v>
      </c>
      <c r="K22" s="44" t="n">
        <v>-8.5</v>
      </c>
      <c r="L22" s="44" t="n">
        <f aca="false">G22-J22</f>
        <v>-0.74332114205469</v>
      </c>
      <c r="M22" s="44" t="n">
        <f aca="false">H22-K22</f>
        <v>-0.943321142054693</v>
      </c>
      <c r="N22" s="44" t="n">
        <v>-23.065195</v>
      </c>
      <c r="O22" s="44" t="n">
        <v>-4.5814366</v>
      </c>
      <c r="P22" s="47" t="n">
        <f aca="false">G22-N22</f>
        <v>6.02187385794531</v>
      </c>
      <c r="Q22" s="47" t="n">
        <f aca="false">H22-O22</f>
        <v>-4.86188454205469</v>
      </c>
      <c r="R22" s="47" t="n">
        <f aca="false">J22-N22</f>
        <v>6.765195</v>
      </c>
      <c r="S22" s="47" t="n">
        <f aca="false">K22-O22</f>
        <v>-3.9185634</v>
      </c>
      <c r="U22" s="44" t="n">
        <v>1</v>
      </c>
      <c r="V22" s="44" t="n">
        <v>6</v>
      </c>
    </row>
    <row r="23" customFormat="false" ht="13.8" hidden="false" customHeight="false" outlineLevel="0" collapsed="false">
      <c r="A23" s="44" t="n">
        <v>1</v>
      </c>
      <c r="B23" s="44" t="n">
        <v>7</v>
      </c>
      <c r="C23" s="47" t="n">
        <f aca="false">((A23-1)*9+(B23))/108</f>
        <v>0.0648148148148148</v>
      </c>
      <c r="D23" s="47" t="n">
        <f aca="false">MIN(ABS(C23*12-0.5),12-ABS(C23*12-0.5))/6</f>
        <v>0.0462962962962963</v>
      </c>
      <c r="E23" s="47" t="n">
        <f aca="false">6*D23^5-15*D23^4+10*D23^3</f>
        <v>0.000924657346069982</v>
      </c>
      <c r="F23" s="47" t="n">
        <f aca="false">E23*F$3</f>
        <v>0.0300513637472744</v>
      </c>
      <c r="G23" s="47" t="n">
        <f aca="false">$F$4+F23+(-0.5*$F$10)</f>
        <v>-17.0199486362527</v>
      </c>
      <c r="H23" s="47" t="n">
        <f aca="false">$F$4+F23+(0.5*$F$10)</f>
        <v>-9.41994863625273</v>
      </c>
      <c r="J23" s="44" t="n">
        <v>-17</v>
      </c>
      <c r="K23" s="44" t="n">
        <v>-8</v>
      </c>
      <c r="L23" s="44" t="n">
        <f aca="false">G23-J23</f>
        <v>-0.0199486362527246</v>
      </c>
      <c r="M23" s="44" t="n">
        <f aca="false">H23-K23</f>
        <v>-1.41994863625273</v>
      </c>
      <c r="N23" s="44" t="n">
        <v>-23.614023</v>
      </c>
      <c r="O23" s="44" t="n">
        <v>-5.150031</v>
      </c>
      <c r="P23" s="47" t="n">
        <f aca="false">G23-N23</f>
        <v>6.59407436374728</v>
      </c>
      <c r="Q23" s="47" t="n">
        <f aca="false">H23-O23</f>
        <v>-4.26991763625273</v>
      </c>
      <c r="R23" s="47" t="n">
        <f aca="false">J23-N23</f>
        <v>6.614023</v>
      </c>
      <c r="S23" s="47" t="n">
        <f aca="false">K23-O23</f>
        <v>-2.849969</v>
      </c>
      <c r="U23" s="44" t="n">
        <v>1</v>
      </c>
      <c r="V23" s="44" t="n">
        <v>7</v>
      </c>
    </row>
    <row r="24" customFormat="false" ht="13.8" hidden="false" customHeight="false" outlineLevel="0" collapsed="false">
      <c r="A24" s="44" t="n">
        <v>1</v>
      </c>
      <c r="B24" s="44" t="n">
        <v>8</v>
      </c>
      <c r="C24" s="47" t="n">
        <f aca="false">((A24-1)*9+(B24))/108</f>
        <v>0.0740740740740741</v>
      </c>
      <c r="D24" s="47" t="n">
        <f aca="false">MIN(ABS(C24*12-0.5),12-ABS(C24*12-0.5))/6</f>
        <v>0.0648148148148148</v>
      </c>
      <c r="E24" s="47" t="n">
        <f aca="false">6*D24^5-15*D24^4+10*D24^3</f>
        <v>0.00246498672229007</v>
      </c>
      <c r="F24" s="47" t="n">
        <f aca="false">E24*F$3</f>
        <v>0.0801120684744273</v>
      </c>
      <c r="G24" s="47" t="n">
        <f aca="false">$F$4+F24+(-0.5*$F$10)</f>
        <v>-16.9698879315256</v>
      </c>
      <c r="H24" s="47" t="n">
        <f aca="false">$F$4+F24+(0.5*$F$10)</f>
        <v>-9.36988793152557</v>
      </c>
      <c r="J24" s="44" t="n">
        <v>-16.8</v>
      </c>
      <c r="K24" s="44" t="n">
        <v>-7.8</v>
      </c>
      <c r="L24" s="44" t="n">
        <f aca="false">G24-J24</f>
        <v>-0.169887931525572</v>
      </c>
      <c r="M24" s="44" t="n">
        <f aca="false">H24-K24</f>
        <v>-1.56988793152557</v>
      </c>
      <c r="N24" s="44" t="n">
        <v>-23.33651</v>
      </c>
      <c r="O24" s="44" t="n">
        <v>-4.3843427</v>
      </c>
      <c r="P24" s="47" t="n">
        <f aca="false">G24-N24</f>
        <v>6.36662206847443</v>
      </c>
      <c r="Q24" s="47" t="n">
        <f aca="false">H24-O24</f>
        <v>-4.98554523152557</v>
      </c>
      <c r="R24" s="47" t="n">
        <f aca="false">J24-N24</f>
        <v>6.53651</v>
      </c>
      <c r="S24" s="47" t="n">
        <f aca="false">K24-O24</f>
        <v>-3.4156573</v>
      </c>
      <c r="U24" s="44" t="n">
        <v>1</v>
      </c>
      <c r="V24" s="44" t="n">
        <v>8</v>
      </c>
    </row>
    <row r="25" customFormat="false" ht="13.8" hidden="false" customHeight="false" outlineLevel="0" collapsed="false">
      <c r="A25" s="44" t="n">
        <v>1</v>
      </c>
      <c r="B25" s="44" t="n">
        <v>9</v>
      </c>
      <c r="C25" s="47" t="n">
        <f aca="false">((A25-1)*9+(B25))/108</f>
        <v>0.0833333333333333</v>
      </c>
      <c r="D25" s="47" t="n">
        <f aca="false">MIN(ABS(C25*12-0.5),12-ABS(C25*12-0.5))/6</f>
        <v>0.0833333333333333</v>
      </c>
      <c r="E25" s="47" t="n">
        <f aca="false">6*D25^5-15*D25^4+10*D25^3</f>
        <v>0.00508777006172839</v>
      </c>
      <c r="F25" s="47" t="n">
        <f aca="false">E25*F$3</f>
        <v>0.165352527006173</v>
      </c>
      <c r="G25" s="47" t="n">
        <f aca="false">$F$4+F25+(-0.5*$F$10)</f>
        <v>-16.8846474729938</v>
      </c>
      <c r="H25" s="47" t="n">
        <f aca="false">$F$4+F25+(0.5*$F$10)</f>
        <v>-9.28464747299383</v>
      </c>
      <c r="J25" s="44" t="n">
        <v>-17</v>
      </c>
      <c r="K25" s="44" t="n">
        <v>-8.4</v>
      </c>
      <c r="L25" s="44" t="n">
        <f aca="false">G25-J25</f>
        <v>0.115352527006173</v>
      </c>
      <c r="M25" s="44" t="n">
        <f aca="false">H25-K25</f>
        <v>-0.884647472993828</v>
      </c>
      <c r="N25" s="44" t="n">
        <v>-22.306946</v>
      </c>
      <c r="O25" s="44" t="n">
        <v>-3.3574955</v>
      </c>
      <c r="P25" s="47" t="n">
        <f aca="false">G25-N25</f>
        <v>5.42229852700617</v>
      </c>
      <c r="Q25" s="47" t="n">
        <f aca="false">H25-O25</f>
        <v>-5.92715197299383</v>
      </c>
      <c r="R25" s="47" t="n">
        <f aca="false">J25-N25</f>
        <v>5.306946</v>
      </c>
      <c r="S25" s="47" t="n">
        <f aca="false">K25-O25</f>
        <v>-5.0425045</v>
      </c>
      <c r="U25" s="44" t="n">
        <v>1</v>
      </c>
      <c r="V25" s="44" t="n">
        <v>9</v>
      </c>
    </row>
    <row r="26" customFormat="false" ht="13.8" hidden="false" customHeight="false" outlineLevel="0" collapsed="false">
      <c r="A26" s="44" t="n">
        <v>2</v>
      </c>
      <c r="B26" s="44" t="n">
        <v>1</v>
      </c>
      <c r="C26" s="47" t="n">
        <f aca="false">((A26-1)*9+(B26))/108</f>
        <v>0.0925925925925926</v>
      </c>
      <c r="D26" s="47" t="n">
        <f aca="false">MIN(ABS(C26*12-0.5),12-ABS(C26*12-0.5))/6</f>
        <v>0.101851851851852</v>
      </c>
      <c r="E26" s="47" t="n">
        <f aca="false">6*D26^5-15*D26^4+10*D26^3</f>
        <v>0.00901743647943882</v>
      </c>
      <c r="F26" s="47" t="n">
        <f aca="false">E26*F$3</f>
        <v>0.293066685581762</v>
      </c>
      <c r="G26" s="47" t="n">
        <f aca="false">$F$4+F26+(-0.5*$F$10)</f>
        <v>-16.7569333144182</v>
      </c>
      <c r="H26" s="47" t="n">
        <f aca="false">$F$4+F26+(0.5*$F$10)</f>
        <v>-9.15693331441824</v>
      </c>
      <c r="J26" s="44" t="n">
        <v>-17</v>
      </c>
      <c r="K26" s="44" t="n">
        <v>-7.9</v>
      </c>
      <c r="L26" s="44" t="n">
        <f aca="false">G26-J26</f>
        <v>0.243066685581763</v>
      </c>
      <c r="M26" s="44" t="n">
        <f aca="false">H26-K26</f>
        <v>-1.25693331441824</v>
      </c>
      <c r="N26" s="44" t="n">
        <v>-22.63052</v>
      </c>
      <c r="O26" s="44" t="n">
        <v>-5.9518194</v>
      </c>
      <c r="P26" s="47" t="n">
        <f aca="false">G26-N26</f>
        <v>5.87358668558176</v>
      </c>
      <c r="Q26" s="47" t="n">
        <f aca="false">H26-O26</f>
        <v>-3.20511391441824</v>
      </c>
      <c r="R26" s="47" t="n">
        <f aca="false">J26-N26</f>
        <v>5.63052</v>
      </c>
      <c r="S26" s="47" t="n">
        <f aca="false">K26-O26</f>
        <v>-1.9481806</v>
      </c>
      <c r="U26" s="44" t="n">
        <v>2</v>
      </c>
      <c r="V26" s="44" t="n">
        <v>1</v>
      </c>
    </row>
    <row r="27" customFormat="false" ht="13.8" hidden="false" customHeight="false" outlineLevel="0" collapsed="false">
      <c r="A27" s="44" t="n">
        <v>2</v>
      </c>
      <c r="B27" s="44" t="n">
        <v>2</v>
      </c>
      <c r="C27" s="47" t="n">
        <f aca="false">((A27-1)*9+(B27))/108</f>
        <v>0.101851851851852</v>
      </c>
      <c r="D27" s="47" t="n">
        <f aca="false">MIN(ABS(C27*12-0.5),12-ABS(C27*12-0.5))/6</f>
        <v>0.12037037037037</v>
      </c>
      <c r="E27" s="47" t="n">
        <f aca="false">6*D27^5-15*D27^4+10*D27^3</f>
        <v>0.0144431336575409</v>
      </c>
      <c r="F27" s="47" t="n">
        <f aca="false">E27*F$3</f>
        <v>0.469401843870079</v>
      </c>
      <c r="G27" s="47" t="n">
        <f aca="false">$F$4+F27+(-0.5*$F$10)</f>
        <v>-16.5805981561299</v>
      </c>
      <c r="H27" s="47" t="n">
        <f aca="false">$F$4+F27+(0.5*$F$10)</f>
        <v>-8.98059815612992</v>
      </c>
      <c r="J27" s="44" t="n">
        <v>-16</v>
      </c>
      <c r="K27" s="44" t="n">
        <v>-7.4</v>
      </c>
      <c r="L27" s="44" t="n">
        <f aca="false">G27-J27</f>
        <v>-0.58059815612992</v>
      </c>
      <c r="M27" s="44" t="n">
        <f aca="false">H27-K27</f>
        <v>-1.58059815612992</v>
      </c>
      <c r="N27" s="44" t="n">
        <v>-22.800684</v>
      </c>
      <c r="O27" s="44" t="n">
        <v>-4.8126225</v>
      </c>
      <c r="P27" s="47" t="n">
        <f aca="false">G27-N27</f>
        <v>6.22008584387008</v>
      </c>
      <c r="Q27" s="47" t="n">
        <f aca="false">H27-O27</f>
        <v>-4.16797565612992</v>
      </c>
      <c r="R27" s="47" t="n">
        <f aca="false">J27-N27</f>
        <v>6.800684</v>
      </c>
      <c r="S27" s="47" t="n">
        <f aca="false">K27-O27</f>
        <v>-2.5873775</v>
      </c>
      <c r="U27" s="44" t="n">
        <v>2</v>
      </c>
      <c r="V27" s="44" t="n">
        <v>2</v>
      </c>
    </row>
    <row r="28" customFormat="false" ht="13.8" hidden="false" customHeight="false" outlineLevel="0" collapsed="false">
      <c r="A28" s="44" t="n">
        <v>2</v>
      </c>
      <c r="B28" s="44" t="n">
        <v>3</v>
      </c>
      <c r="C28" s="47" t="n">
        <f aca="false">((A28-1)*9+(B28))/108</f>
        <v>0.111111111111111</v>
      </c>
      <c r="D28" s="47" t="n">
        <f aca="false">MIN(ABS(C28*12-0.5),12-ABS(C28*12-0.5))/6</f>
        <v>0.138888888888889</v>
      </c>
      <c r="E28" s="47" t="n">
        <f aca="false">6*D28^5-15*D28^4+10*D28^3</f>
        <v>0.0215202959089062</v>
      </c>
      <c r="F28" s="47" t="n">
        <f aca="false">E28*F$3</f>
        <v>0.699409617039452</v>
      </c>
      <c r="G28" s="47" t="n">
        <f aca="false">$F$4+F28+(-0.5*$F$10)</f>
        <v>-16.3505903829605</v>
      </c>
      <c r="H28" s="47" t="n">
        <f aca="false">$F$4+F28+(0.5*$F$10)</f>
        <v>-8.75059038296055</v>
      </c>
      <c r="J28" s="44" t="n">
        <v>-16.5</v>
      </c>
      <c r="K28" s="44" t="n">
        <v>-7.9</v>
      </c>
      <c r="L28" s="44" t="n">
        <f aca="false">G28-J28</f>
        <v>0.149409617039453</v>
      </c>
      <c r="M28" s="44" t="n">
        <f aca="false">H28-K28</f>
        <v>-0.850590382960549</v>
      </c>
      <c r="N28" s="44" t="n">
        <v>-21.809416</v>
      </c>
      <c r="O28" s="44" t="n">
        <v>-4.42865</v>
      </c>
      <c r="P28" s="47" t="n">
        <f aca="false">G28-N28</f>
        <v>5.45882561703945</v>
      </c>
      <c r="Q28" s="47" t="n">
        <f aca="false">H28-O28</f>
        <v>-4.32194038296055</v>
      </c>
      <c r="R28" s="47" t="n">
        <f aca="false">J28-N28</f>
        <v>5.309416</v>
      </c>
      <c r="S28" s="47" t="n">
        <f aca="false">K28-O28</f>
        <v>-3.47135</v>
      </c>
      <c r="U28" s="44" t="n">
        <v>2</v>
      </c>
      <c r="V28" s="44" t="n">
        <v>3</v>
      </c>
    </row>
    <row r="29" customFormat="false" ht="13.8" hidden="false" customHeight="false" outlineLevel="0" collapsed="false">
      <c r="A29" s="44" t="n">
        <v>2</v>
      </c>
      <c r="B29" s="44" t="n">
        <v>4</v>
      </c>
      <c r="C29" s="47" t="n">
        <f aca="false">((A29-1)*9+(B29))/108</f>
        <v>0.12037037037037</v>
      </c>
      <c r="D29" s="47" t="n">
        <f aca="false">MIN(ABS(C29*12-0.5),12-ABS(C29*12-0.5))/6</f>
        <v>0.157407407407407</v>
      </c>
      <c r="E29" s="47" t="n">
        <f aca="false">6*D29^5-15*D29^4+10*D29^3</f>
        <v>0.0303722122408435</v>
      </c>
      <c r="F29" s="47" t="n">
        <f aca="false">E29*F$3</f>
        <v>0.987096897827414</v>
      </c>
      <c r="G29" s="47" t="n">
        <f aca="false">$F$4+F29+(-0.5*$F$10)</f>
        <v>-16.0629031021726</v>
      </c>
      <c r="H29" s="47" t="n">
        <f aca="false">$F$4+F29+(0.5*$F$10)</f>
        <v>-8.46290310217259</v>
      </c>
      <c r="J29" s="44" t="n">
        <v>-16.6</v>
      </c>
      <c r="K29" s="44" t="n">
        <v>-6.5</v>
      </c>
      <c r="L29" s="44" t="n">
        <f aca="false">G29-J29</f>
        <v>0.537096897827414</v>
      </c>
      <c r="M29" s="44" t="n">
        <f aca="false">H29-K29</f>
        <v>-1.96290310217259</v>
      </c>
      <c r="N29" s="44" t="n">
        <v>-21.849669</v>
      </c>
      <c r="O29" s="44" t="n">
        <v>-2.8515165</v>
      </c>
      <c r="P29" s="47" t="n">
        <f aca="false">G29-N29</f>
        <v>5.78676589782741</v>
      </c>
      <c r="Q29" s="47" t="n">
        <f aca="false">H29-O29</f>
        <v>-5.61138660217259</v>
      </c>
      <c r="R29" s="47" t="n">
        <f aca="false">J29-N29</f>
        <v>5.249669</v>
      </c>
      <c r="S29" s="47" t="n">
        <f aca="false">K29-O29</f>
        <v>-3.6484835</v>
      </c>
      <c r="U29" s="44" t="n">
        <v>2</v>
      </c>
      <c r="V29" s="44" t="n">
        <v>4</v>
      </c>
    </row>
    <row r="30" customFormat="false" ht="13.8" hidden="false" customHeight="false" outlineLevel="0" collapsed="false">
      <c r="A30" s="44" t="n">
        <v>2</v>
      </c>
      <c r="B30" s="44" t="n">
        <v>5</v>
      </c>
      <c r="C30" s="47" t="n">
        <f aca="false">((A30-1)*9+(B30))/108</f>
        <v>0.12962962962963</v>
      </c>
      <c r="D30" s="47" t="n">
        <f aca="false">MIN(ABS(C30*12-0.5),12-ABS(C30*12-0.5))/6</f>
        <v>0.175925925925926</v>
      </c>
      <c r="E30" s="47" t="n">
        <f aca="false">6*D30^5-15*D30^4+10*D30^3</f>
        <v>0.0410915944187857</v>
      </c>
      <c r="F30" s="47" t="n">
        <f aca="false">E30*F$3</f>
        <v>1.33547681861054</v>
      </c>
      <c r="G30" s="47" t="n">
        <f aca="false">$F$4+F30+(-0.5*$F$10)</f>
        <v>-15.7145231813895</v>
      </c>
      <c r="H30" s="47" t="n">
        <f aca="false">$F$4+F30+(0.5*$F$10)</f>
        <v>-8.11452318138947</v>
      </c>
      <c r="J30" s="44" t="n">
        <v>-15.6</v>
      </c>
      <c r="K30" s="44" t="n">
        <v>-5.7</v>
      </c>
      <c r="L30" s="44" t="n">
        <f aca="false">G30-J30</f>
        <v>-0.114523181389464</v>
      </c>
      <c r="M30" s="44" t="n">
        <f aca="false">H30-K30</f>
        <v>-2.41452318138947</v>
      </c>
      <c r="N30" s="44" t="n">
        <v>-22.070263</v>
      </c>
      <c r="O30" s="44" t="n">
        <v>-3.141757</v>
      </c>
      <c r="P30" s="47" t="n">
        <f aca="false">G30-N30</f>
        <v>6.35573981861054</v>
      </c>
      <c r="Q30" s="47" t="n">
        <f aca="false">H30-O30</f>
        <v>-4.97276618138947</v>
      </c>
      <c r="R30" s="47" t="n">
        <f aca="false">J30-N30</f>
        <v>6.470263</v>
      </c>
      <c r="S30" s="47" t="n">
        <f aca="false">K30-O30</f>
        <v>-2.558243</v>
      </c>
      <c r="U30" s="44" t="n">
        <v>2</v>
      </c>
      <c r="V30" s="44" t="n">
        <v>5</v>
      </c>
    </row>
    <row r="31" customFormat="false" ht="13.8" hidden="false" customHeight="false" outlineLevel="0" collapsed="false">
      <c r="A31" s="44" t="n">
        <v>2</v>
      </c>
      <c r="B31" s="44" t="n">
        <v>6</v>
      </c>
      <c r="C31" s="47" t="n">
        <f aca="false">((A31-1)*9+(B31))/108</f>
        <v>0.138888888888889</v>
      </c>
      <c r="D31" s="47" t="n">
        <f aca="false">MIN(ABS(C31*12-0.5),12-ABS(C31*12-0.5))/6</f>
        <v>0.194444444444444</v>
      </c>
      <c r="E31" s="47" t="n">
        <f aca="false">6*D31^5-15*D31^4+10*D31^3</f>
        <v>0.0537421450299751</v>
      </c>
      <c r="F31" s="47" t="n">
        <f aca="false">E31*F$3</f>
        <v>1.74661971347419</v>
      </c>
      <c r="G31" s="47" t="n">
        <f aca="false">$F$4+F31+(-0.5*$F$10)</f>
        <v>-15.3033802865258</v>
      </c>
      <c r="H31" s="47" t="n">
        <f aca="false">$F$4+F31+(0.5*$F$10)</f>
        <v>-7.70338028652581</v>
      </c>
      <c r="J31" s="44" t="n">
        <v>-15.5</v>
      </c>
      <c r="K31" s="44" t="n">
        <v>-6.8</v>
      </c>
      <c r="L31" s="44" t="n">
        <f aca="false">G31-J31</f>
        <v>0.196619713474192</v>
      </c>
      <c r="M31" s="44" t="n">
        <f aca="false">H31-K31</f>
        <v>-0.90338028652581</v>
      </c>
      <c r="N31" s="44" t="n">
        <v>-20.707449</v>
      </c>
      <c r="O31" s="44" t="n">
        <v>-3.6006567</v>
      </c>
      <c r="P31" s="47" t="n">
        <f aca="false">G31-N31</f>
        <v>5.40406871347419</v>
      </c>
      <c r="Q31" s="47" t="n">
        <f aca="false">H31-O31</f>
        <v>-4.10272358652581</v>
      </c>
      <c r="R31" s="47" t="n">
        <f aca="false">J31-N31</f>
        <v>5.207449</v>
      </c>
      <c r="S31" s="47" t="n">
        <f aca="false">K31-O31</f>
        <v>-3.1993433</v>
      </c>
      <c r="U31" s="44" t="n">
        <v>2</v>
      </c>
      <c r="V31" s="44" t="n">
        <v>6</v>
      </c>
    </row>
    <row r="32" customFormat="false" ht="13.8" hidden="false" customHeight="false" outlineLevel="0" collapsed="false">
      <c r="A32" s="44" t="n">
        <v>2</v>
      </c>
      <c r="B32" s="44" t="n">
        <v>7</v>
      </c>
      <c r="C32" s="47" t="n">
        <f aca="false">((A32-1)*9+(B32))/108</f>
        <v>0.148148148148148</v>
      </c>
      <c r="D32" s="47" t="n">
        <f aca="false">MIN(ABS(C32*12-0.5),12-ABS(C32*12-0.5))/6</f>
        <v>0.212962962962963</v>
      </c>
      <c r="E32" s="47" t="n">
        <f aca="false">6*D32^5-15*D32^4+10*D32^3</f>
        <v>0.0683601255471497</v>
      </c>
      <c r="F32" s="47" t="n">
        <f aca="false">E32*F$3</f>
        <v>2.22170408028237</v>
      </c>
      <c r="G32" s="47" t="n">
        <f aca="false">$F$4+F32+(-0.5*$F$10)</f>
        <v>-14.8282959197176</v>
      </c>
      <c r="H32" s="47" t="n">
        <f aca="false">$F$4+F32+(0.5*$F$10)</f>
        <v>-7.22829591971764</v>
      </c>
      <c r="J32" s="44" t="n">
        <v>-14.9</v>
      </c>
      <c r="K32" s="44" t="n">
        <v>-4.4</v>
      </c>
      <c r="L32" s="44" t="n">
        <f aca="false">G32-J32</f>
        <v>0.0717040802823643</v>
      </c>
      <c r="M32" s="44" t="n">
        <f aca="false">H32-K32</f>
        <v>-2.82829591971764</v>
      </c>
      <c r="N32" s="44" t="n">
        <v>-20.630209</v>
      </c>
      <c r="O32" s="44" t="n">
        <v>-2.0451126</v>
      </c>
      <c r="P32" s="47" t="n">
        <f aca="false">G32-N32</f>
        <v>5.80191308028237</v>
      </c>
      <c r="Q32" s="47" t="n">
        <f aca="false">H32-O32</f>
        <v>-5.18318331971764</v>
      </c>
      <c r="R32" s="47" t="n">
        <f aca="false">J32-N32</f>
        <v>5.730209</v>
      </c>
      <c r="S32" s="47" t="n">
        <f aca="false">K32-O32</f>
        <v>-2.3548874</v>
      </c>
      <c r="U32" s="44" t="n">
        <v>2</v>
      </c>
      <c r="V32" s="44" t="n">
        <v>7</v>
      </c>
    </row>
    <row r="33" customFormat="false" ht="13.8" hidden="false" customHeight="false" outlineLevel="0" collapsed="false">
      <c r="A33" s="44" t="n">
        <v>2</v>
      </c>
      <c r="B33" s="44" t="n">
        <v>8</v>
      </c>
      <c r="C33" s="47" t="n">
        <f aca="false">((A33-1)*9+(B33))/108</f>
        <v>0.157407407407407</v>
      </c>
      <c r="D33" s="47" t="n">
        <f aca="false">MIN(ABS(C33*12-0.5),12-ABS(C33*12-0.5))/6</f>
        <v>0.231481481481481</v>
      </c>
      <c r="E33" s="47" t="n">
        <f aca="false">6*D33^5-15*D33^4+10*D33^3</f>
        <v>0.084955924392229</v>
      </c>
      <c r="F33" s="47" t="n">
        <f aca="false">E33*F$3</f>
        <v>2.76106754274744</v>
      </c>
      <c r="G33" s="47" t="n">
        <f aca="false">$F$4+F33+(-0.5*$F$10)</f>
        <v>-14.2889324572526</v>
      </c>
      <c r="H33" s="47" t="n">
        <f aca="false">$F$4+F33+(0.5*$F$10)</f>
        <v>-6.68893245725256</v>
      </c>
      <c r="J33" s="44" t="n">
        <v>-14.4</v>
      </c>
      <c r="K33" s="44" t="n">
        <v>-4.4</v>
      </c>
      <c r="L33" s="44" t="n">
        <f aca="false">G33-J33</f>
        <v>0.111067542747444</v>
      </c>
      <c r="M33" s="44" t="n">
        <f aca="false">H33-K33</f>
        <v>-2.28893245725256</v>
      </c>
      <c r="N33" s="44" t="n">
        <v>-20.161499</v>
      </c>
      <c r="O33" s="44" t="n">
        <v>-1.7971145</v>
      </c>
      <c r="P33" s="47" t="n">
        <f aca="false">G33-N33</f>
        <v>5.87256654274744</v>
      </c>
      <c r="Q33" s="47" t="n">
        <f aca="false">H33-O33</f>
        <v>-4.89181795725256</v>
      </c>
      <c r="R33" s="47" t="n">
        <f aca="false">J33-N33</f>
        <v>5.761499</v>
      </c>
      <c r="S33" s="47" t="n">
        <f aca="false">K33-O33</f>
        <v>-2.6028855</v>
      </c>
      <c r="U33" s="44" t="n">
        <v>2</v>
      </c>
      <c r="V33" s="44" t="n">
        <v>8</v>
      </c>
    </row>
    <row r="34" customFormat="false" ht="13.8" hidden="false" customHeight="false" outlineLevel="0" collapsed="false">
      <c r="A34" s="44" t="n">
        <v>2</v>
      </c>
      <c r="B34" s="44" t="n">
        <v>9</v>
      </c>
      <c r="C34" s="47" t="n">
        <f aca="false">((A34-1)*9+(B34))/108</f>
        <v>0.166666666666667</v>
      </c>
      <c r="D34" s="47" t="n">
        <f aca="false">MIN(ABS(C34*12-0.5),12-ABS(C34*12-0.5))/6</f>
        <v>0.25</v>
      </c>
      <c r="E34" s="47" t="n">
        <f aca="false">6*D34^5-15*D34^4+10*D34^3</f>
        <v>0.103515625</v>
      </c>
      <c r="F34" s="47" t="n">
        <f aca="false">E34*F$3</f>
        <v>3.3642578125</v>
      </c>
      <c r="G34" s="47" t="n">
        <f aca="false">$F$4+F34+(-0.5*$F$10)</f>
        <v>-13.6857421875</v>
      </c>
      <c r="H34" s="47" t="n">
        <f aca="false">$F$4+F34+(0.5*$F$10)</f>
        <v>-6.0857421875</v>
      </c>
      <c r="J34" s="44" t="n">
        <v>-13.1</v>
      </c>
      <c r="K34" s="44" t="n">
        <v>-5.2</v>
      </c>
      <c r="L34" s="44" t="n">
        <f aca="false">G34-J34</f>
        <v>-0.585742187500001</v>
      </c>
      <c r="M34" s="44" t="n">
        <f aca="false">H34-K34</f>
        <v>-0.8857421875</v>
      </c>
      <c r="N34" s="44" t="n">
        <v>-19.612083</v>
      </c>
      <c r="O34" s="44" t="n">
        <v>-1.0622241</v>
      </c>
      <c r="P34" s="47" t="n">
        <f aca="false">G34-N34</f>
        <v>5.9263408125</v>
      </c>
      <c r="Q34" s="47" t="n">
        <f aca="false">H34-O34</f>
        <v>-5.0235180875</v>
      </c>
      <c r="R34" s="47" t="n">
        <f aca="false">J34-N34</f>
        <v>6.512083</v>
      </c>
      <c r="S34" s="47" t="n">
        <f aca="false">K34-O34</f>
        <v>-4.1377759</v>
      </c>
      <c r="U34" s="44" t="n">
        <v>2</v>
      </c>
      <c r="V34" s="44" t="n">
        <v>9</v>
      </c>
    </row>
    <row r="35" customFormat="false" ht="13.8" hidden="false" customHeight="false" outlineLevel="0" collapsed="false">
      <c r="A35" s="44" t="n">
        <v>3</v>
      </c>
      <c r="B35" s="44" t="n">
        <v>1</v>
      </c>
      <c r="C35" s="47" t="n">
        <f aca="false">((A35-1)*9+(B35))/108</f>
        <v>0.175925925925926</v>
      </c>
      <c r="D35" s="47" t="n">
        <f aca="false">MIN(ABS(C35*12-0.5),12-ABS(C35*12-0.5))/6</f>
        <v>0.268518518518519</v>
      </c>
      <c r="E35" s="47" t="n">
        <f aca="false">6*D35^5-15*D35^4+10*D35^3</f>
        <v>0.124002573881803</v>
      </c>
      <c r="F35" s="47" t="n">
        <f aca="false">E35*F$3</f>
        <v>4.0300836511586</v>
      </c>
      <c r="G35" s="47" t="n">
        <f aca="false">$F$4+F35+(-0.5*$F$10)</f>
        <v>-13.0199163488414</v>
      </c>
      <c r="H35" s="47" t="n">
        <f aca="false">$F$4+F35+(0.5*$F$10)</f>
        <v>-5.4199163488414</v>
      </c>
      <c r="J35" s="44" t="n">
        <v>-12.4</v>
      </c>
      <c r="K35" s="44" t="n">
        <v>-4.3</v>
      </c>
      <c r="L35" s="44" t="n">
        <f aca="false">G35-J35</f>
        <v>-0.619916348841402</v>
      </c>
      <c r="M35" s="44" t="n">
        <f aca="false">H35-K35</f>
        <v>-1.1199163488414</v>
      </c>
      <c r="N35" s="44" t="n">
        <v>-19.577929</v>
      </c>
      <c r="O35" s="44" t="n">
        <v>-1.1235979</v>
      </c>
      <c r="P35" s="47" t="n">
        <f aca="false">G35-N35</f>
        <v>6.5580126511586</v>
      </c>
      <c r="Q35" s="47" t="n">
        <f aca="false">H35-O35</f>
        <v>-4.2963184488414</v>
      </c>
      <c r="R35" s="47" t="n">
        <f aca="false">J35-N35</f>
        <v>7.177929</v>
      </c>
      <c r="S35" s="47" t="n">
        <f aca="false">K35-O35</f>
        <v>-3.1764021</v>
      </c>
      <c r="U35" s="44" t="n">
        <v>3</v>
      </c>
      <c r="V35" s="44" t="n">
        <v>1</v>
      </c>
    </row>
    <row r="36" customFormat="false" ht="13.8" hidden="false" customHeight="false" outlineLevel="0" collapsed="false">
      <c r="A36" s="44" t="n">
        <v>3</v>
      </c>
      <c r="B36" s="44" t="n">
        <v>2</v>
      </c>
      <c r="C36" s="47" t="n">
        <f aca="false">((A36-1)*9+(B36))/108</f>
        <v>0.185185185185185</v>
      </c>
      <c r="D36" s="47" t="n">
        <f aca="false">MIN(ABS(C36*12-0.5),12-ABS(C36*12-0.5))/6</f>
        <v>0.287037037037037</v>
      </c>
      <c r="E36" s="47" t="n">
        <f aca="false">6*D36^5-15*D36^4+10*D36^3</f>
        <v>0.146358948689219</v>
      </c>
      <c r="F36" s="47" t="n">
        <f aca="false">E36*F$3</f>
        <v>4.75666583239962</v>
      </c>
      <c r="G36" s="47" t="n">
        <f aca="false">$F$4+F36+(-0.5*$F$10)</f>
        <v>-12.2933341676004</v>
      </c>
      <c r="H36" s="47" t="n">
        <f aca="false">$F$4+F36+(0.5*$F$10)</f>
        <v>-4.69333416760038</v>
      </c>
      <c r="J36" s="44" t="n">
        <v>-14.4</v>
      </c>
      <c r="K36" s="44" t="n">
        <v>-2.9</v>
      </c>
      <c r="L36" s="44" t="n">
        <f aca="false">G36-J36</f>
        <v>2.10666583239962</v>
      </c>
      <c r="M36" s="44" t="n">
        <f aca="false">H36-K36</f>
        <v>-1.79333416760038</v>
      </c>
      <c r="N36" s="44" t="n">
        <v>-18.147728</v>
      </c>
      <c r="O36" s="44" t="n">
        <v>0.4524167</v>
      </c>
      <c r="P36" s="47" t="n">
        <f aca="false">G36-N36</f>
        <v>5.85439383239962</v>
      </c>
      <c r="Q36" s="47" t="n">
        <f aca="false">H36-O36</f>
        <v>-5.14575086760038</v>
      </c>
      <c r="R36" s="47" t="n">
        <f aca="false">J36-N36</f>
        <v>3.747728</v>
      </c>
      <c r="S36" s="47" t="n">
        <f aca="false">K36-O36</f>
        <v>-3.3524167</v>
      </c>
      <c r="U36" s="44" t="n">
        <v>3</v>
      </c>
      <c r="V36" s="44" t="n">
        <v>2</v>
      </c>
    </row>
    <row r="37" customFormat="false" ht="13.8" hidden="false" customHeight="false" outlineLevel="0" collapsed="false">
      <c r="A37" s="44" t="n">
        <v>3</v>
      </c>
      <c r="B37" s="44" t="n">
        <v>3</v>
      </c>
      <c r="C37" s="47" t="n">
        <f aca="false">((A37-1)*9+(B37))/108</f>
        <v>0.194444444444444</v>
      </c>
      <c r="D37" s="47" t="n">
        <f aca="false">MIN(ABS(C37*12-0.5),12-ABS(C37*12-0.5))/6</f>
        <v>0.305555555555556</v>
      </c>
      <c r="E37" s="47" t="n">
        <f aca="false">6*D37^5-15*D37^4+10*D37^3</f>
        <v>0.170507326277752</v>
      </c>
      <c r="F37" s="47" t="n">
        <f aca="false">E37*F$3</f>
        <v>5.54148810402694</v>
      </c>
      <c r="G37" s="47" t="n">
        <f aca="false">$F$4+F37+(-0.5*$F$10)</f>
        <v>-11.5085118959731</v>
      </c>
      <c r="H37" s="47" t="n">
        <f aca="false">$F$4+F37+(0.5*$F$10)</f>
        <v>-3.90851189597306</v>
      </c>
      <c r="J37" s="44" t="n">
        <v>-12.7</v>
      </c>
      <c r="K37" s="44" t="n">
        <v>-2.7</v>
      </c>
      <c r="L37" s="44" t="n">
        <f aca="false">G37-J37</f>
        <v>1.19148810402694</v>
      </c>
      <c r="M37" s="44" t="n">
        <f aca="false">H37-K37</f>
        <v>-1.20851189597306</v>
      </c>
      <c r="N37" s="44" t="n">
        <v>-17.280428</v>
      </c>
      <c r="O37" s="44" t="n">
        <v>0.5398388</v>
      </c>
      <c r="P37" s="47" t="n">
        <f aca="false">G37-N37</f>
        <v>5.77191610402694</v>
      </c>
      <c r="Q37" s="47" t="n">
        <f aca="false">H37-O37</f>
        <v>-4.44835069597306</v>
      </c>
      <c r="R37" s="47" t="n">
        <f aca="false">J37-N37</f>
        <v>4.580428</v>
      </c>
      <c r="S37" s="47" t="n">
        <f aca="false">K37-O37</f>
        <v>-3.2398388</v>
      </c>
      <c r="U37" s="44" t="n">
        <v>3</v>
      </c>
      <c r="V37" s="44" t="n">
        <v>3</v>
      </c>
    </row>
    <row r="38" customFormat="false" ht="13.8" hidden="false" customHeight="false" outlineLevel="0" collapsed="false">
      <c r="A38" s="44" t="n">
        <v>3</v>
      </c>
      <c r="B38" s="44" t="n">
        <v>4</v>
      </c>
      <c r="C38" s="47" t="n">
        <f aca="false">((A38-1)*9+(B38))/108</f>
        <v>0.203703703703704</v>
      </c>
      <c r="D38" s="47" t="n">
        <f aca="false">MIN(ABS(C38*12-0.5),12-ABS(C38*12-0.5))/6</f>
        <v>0.324074074074074</v>
      </c>
      <c r="E38" s="47" t="n">
        <f aca="false">6*D38^5-15*D38^4+10*D38^3</f>
        <v>0.19635225077052</v>
      </c>
      <c r="F38" s="47" t="n">
        <f aca="false">E38*F$3</f>
        <v>6.3814481500419</v>
      </c>
      <c r="G38" s="47" t="n">
        <f aca="false">$F$4+F38+(-0.5*$F$10)</f>
        <v>-10.6685518499581</v>
      </c>
      <c r="H38" s="47" t="n">
        <f aca="false">$F$4+F38+(0.5*$F$10)</f>
        <v>-3.0685518499581</v>
      </c>
      <c r="J38" s="44" t="n">
        <v>-11.2</v>
      </c>
      <c r="K38" s="44" t="n">
        <v>-2.6</v>
      </c>
      <c r="L38" s="44" t="n">
        <f aca="false">G38-J38</f>
        <v>0.5314481500419</v>
      </c>
      <c r="M38" s="44" t="n">
        <f aca="false">H38-K38</f>
        <v>-0.468551849958101</v>
      </c>
      <c r="N38" s="44" t="n">
        <v>-18.227816</v>
      </c>
      <c r="O38" s="44" t="n">
        <v>2.0664294</v>
      </c>
      <c r="P38" s="47" t="n">
        <f aca="false">G38-N38</f>
        <v>7.5592641500419</v>
      </c>
      <c r="Q38" s="47" t="n">
        <f aca="false">H38-O38</f>
        <v>-5.1349812499581</v>
      </c>
      <c r="R38" s="47" t="n">
        <f aca="false">J38-N38</f>
        <v>7.027816</v>
      </c>
      <c r="S38" s="47" t="n">
        <f aca="false">K38-O38</f>
        <v>-4.6664294</v>
      </c>
      <c r="U38" s="44" t="n">
        <v>3</v>
      </c>
      <c r="V38" s="44" t="n">
        <v>4</v>
      </c>
    </row>
    <row r="39" customFormat="false" ht="13.8" hidden="false" customHeight="false" outlineLevel="0" collapsed="false">
      <c r="A39" s="44" t="n">
        <v>3</v>
      </c>
      <c r="B39" s="44" t="n">
        <v>5</v>
      </c>
      <c r="C39" s="47" t="n">
        <f aca="false">((A39-1)*9+(B39))/108</f>
        <v>0.212962962962963</v>
      </c>
      <c r="D39" s="47" t="n">
        <f aca="false">MIN(ABS(C39*12-0.5),12-ABS(C39*12-0.5))/6</f>
        <v>0.342592592592593</v>
      </c>
      <c r="E39" s="47" t="n">
        <f aca="false">6*D39^5-15*D39^4+10*D39^3</f>
        <v>0.223781801621937</v>
      </c>
      <c r="F39" s="47" t="n">
        <f aca="false">E39*F$3</f>
        <v>7.27290855271295</v>
      </c>
      <c r="G39" s="47" t="n">
        <f aca="false">$F$4+F39+(-0.5*$F$10)</f>
        <v>-9.77709144728705</v>
      </c>
      <c r="H39" s="47" t="n">
        <f aca="false">$F$4+F39+(0.5*$F$10)</f>
        <v>-2.17709144728705</v>
      </c>
      <c r="J39" s="44" t="n">
        <v>-10.7</v>
      </c>
      <c r="K39" s="44" t="n">
        <v>-0.2</v>
      </c>
      <c r="L39" s="44" t="n">
        <f aca="false">G39-J39</f>
        <v>0.922908552712952</v>
      </c>
      <c r="M39" s="44" t="n">
        <f aca="false">H39-K39</f>
        <v>-1.97709144728705</v>
      </c>
      <c r="N39" s="44" t="n">
        <v>-15.8259</v>
      </c>
      <c r="O39" s="44" t="n">
        <v>2.7201445</v>
      </c>
      <c r="P39" s="47" t="n">
        <f aca="false">G39-N39</f>
        <v>6.04880855271295</v>
      </c>
      <c r="Q39" s="47" t="n">
        <f aca="false">H39-O39</f>
        <v>-4.89723594728705</v>
      </c>
      <c r="R39" s="47" t="n">
        <f aca="false">J39-N39</f>
        <v>5.1259</v>
      </c>
      <c r="S39" s="47" t="n">
        <f aca="false">K39-O39</f>
        <v>-2.9201445</v>
      </c>
      <c r="U39" s="44" t="n">
        <v>3</v>
      </c>
      <c r="V39" s="44" t="n">
        <v>5</v>
      </c>
    </row>
    <row r="40" customFormat="false" ht="13.8" hidden="false" customHeight="false" outlineLevel="0" collapsed="false">
      <c r="A40" s="44" t="n">
        <v>3</v>
      </c>
      <c r="B40" s="44" t="n">
        <v>6</v>
      </c>
      <c r="C40" s="47" t="n">
        <f aca="false">((A40-1)*9+(B40))/108</f>
        <v>0.222222222222222</v>
      </c>
      <c r="D40" s="47" t="n">
        <f aca="false">MIN(ABS(C40*12-0.5),12-ABS(C40*12-0.5))/6</f>
        <v>0.361111111111111</v>
      </c>
      <c r="E40" s="47" t="n">
        <f aca="false">6*D40^5-15*D40^4+10*D40^3</f>
        <v>0.2526691616814</v>
      </c>
      <c r="F40" s="47" t="n">
        <f aca="false">E40*F$3</f>
        <v>8.2117477546455</v>
      </c>
      <c r="G40" s="47" t="n">
        <f aca="false">$F$4+F40+(-0.5*$F$10)</f>
        <v>-8.8382522453545</v>
      </c>
      <c r="H40" s="47" t="n">
        <f aca="false">$F$4+F40+(0.5*$F$10)</f>
        <v>-1.2382522453545</v>
      </c>
      <c r="J40" s="44" t="n">
        <v>-8.6</v>
      </c>
      <c r="K40" s="44" t="n">
        <v>0.1</v>
      </c>
      <c r="L40" s="44" t="n">
        <f aca="false">G40-J40</f>
        <v>-0.2382522453545</v>
      </c>
      <c r="M40" s="44" t="n">
        <f aca="false">H40-K40</f>
        <v>-1.3382522453545</v>
      </c>
      <c r="N40" s="44" t="n">
        <v>-15.126586</v>
      </c>
      <c r="O40" s="44" t="n">
        <v>4.482551</v>
      </c>
      <c r="P40" s="47" t="n">
        <f aca="false">G40-N40</f>
        <v>6.2883337546455</v>
      </c>
      <c r="Q40" s="47" t="n">
        <f aca="false">H40-O40</f>
        <v>-5.7208032453545</v>
      </c>
      <c r="R40" s="47" t="n">
        <f aca="false">J40-N40</f>
        <v>6.526586</v>
      </c>
      <c r="S40" s="47" t="n">
        <f aca="false">K40-O40</f>
        <v>-4.382551</v>
      </c>
      <c r="U40" s="44" t="n">
        <v>3</v>
      </c>
      <c r="V40" s="44" t="n">
        <v>6</v>
      </c>
    </row>
    <row r="41" customFormat="false" ht="13.8" hidden="false" customHeight="false" outlineLevel="0" collapsed="false">
      <c r="A41" s="44" t="n">
        <v>3</v>
      </c>
      <c r="B41" s="44" t="n">
        <v>7</v>
      </c>
      <c r="C41" s="47" t="n">
        <f aca="false">((A41-1)*9+(B41))/108</f>
        <v>0.231481481481481</v>
      </c>
      <c r="D41" s="47" t="n">
        <f aca="false">MIN(ABS(C41*12-0.5),12-ABS(C41*12-0.5))/6</f>
        <v>0.37962962962963</v>
      </c>
      <c r="E41" s="47" t="n">
        <f aca="false">6*D41^5-15*D41^4+10*D41^3</f>
        <v>0.282874185256976</v>
      </c>
      <c r="F41" s="47" t="n">
        <f aca="false">E41*F$3</f>
        <v>9.19341102085172</v>
      </c>
      <c r="G41" s="47" t="n">
        <f aca="false">$F$4+F41+(-0.5*$F$10)</f>
        <v>-7.85658897914828</v>
      </c>
      <c r="H41" s="47" t="n">
        <f aca="false">$F$4+F41+(0.5*$F$10)</f>
        <v>-0.256588979148281</v>
      </c>
      <c r="J41" s="44" t="n">
        <v>-7.1</v>
      </c>
      <c r="K41" s="44" t="n">
        <v>1.8</v>
      </c>
      <c r="L41" s="44" t="n">
        <f aca="false">G41-J41</f>
        <v>-0.756588979148281</v>
      </c>
      <c r="M41" s="44" t="n">
        <f aca="false">H41-K41</f>
        <v>-2.05658897914828</v>
      </c>
      <c r="N41" s="44" t="n">
        <v>-13.02264</v>
      </c>
      <c r="O41" s="44" t="n">
        <v>5.315191</v>
      </c>
      <c r="P41" s="47" t="n">
        <f aca="false">G41-N41</f>
        <v>5.16605102085172</v>
      </c>
      <c r="Q41" s="47" t="n">
        <f aca="false">H41-O41</f>
        <v>-5.57177997914828</v>
      </c>
      <c r="R41" s="47" t="n">
        <f aca="false">J41-N41</f>
        <v>5.92264</v>
      </c>
      <c r="S41" s="47" t="n">
        <f aca="false">K41-O41</f>
        <v>-3.515191</v>
      </c>
      <c r="U41" s="44" t="n">
        <v>3</v>
      </c>
      <c r="V41" s="44" t="n">
        <v>7</v>
      </c>
    </row>
    <row r="42" customFormat="false" ht="13.8" hidden="false" customHeight="false" outlineLevel="0" collapsed="false">
      <c r="A42" s="44" t="n">
        <v>3</v>
      </c>
      <c r="B42" s="44" t="n">
        <v>8</v>
      </c>
      <c r="C42" s="47" t="n">
        <f aca="false">((A42-1)*9+(B42))/108</f>
        <v>0.240740740740741</v>
      </c>
      <c r="D42" s="47" t="n">
        <f aca="false">MIN(ABS(C42*12-0.5),12-ABS(C42*12-0.5))/6</f>
        <v>0.398148148148148</v>
      </c>
      <c r="E42" s="47" t="n">
        <f aca="false">6*D42^5-15*D42^4+10*D42^3</f>
        <v>0.314244966179088</v>
      </c>
      <c r="F42" s="47" t="n">
        <f aca="false">E42*F$3</f>
        <v>10.2129614008204</v>
      </c>
      <c r="G42" s="47" t="n">
        <f aca="false">$F$4+F42+(-0.5*$F$10)</f>
        <v>-6.83703859917964</v>
      </c>
      <c r="H42" s="47" t="n">
        <f aca="false">$F$4+F42+(0.5*$F$10)</f>
        <v>0.76296140082036</v>
      </c>
      <c r="J42" s="44" t="n">
        <v>-8.2</v>
      </c>
      <c r="K42" s="44" t="n">
        <v>1.6</v>
      </c>
      <c r="L42" s="44" t="n">
        <f aca="false">G42-J42</f>
        <v>1.36296140082036</v>
      </c>
      <c r="M42" s="44" t="n">
        <f aca="false">H42-K42</f>
        <v>-0.83703859917964</v>
      </c>
      <c r="N42" s="44" t="n">
        <v>-13.004377</v>
      </c>
      <c r="O42" s="44" t="n">
        <v>4.828752</v>
      </c>
      <c r="P42" s="47" t="n">
        <f aca="false">G42-N42</f>
        <v>6.16733840082036</v>
      </c>
      <c r="Q42" s="47" t="n">
        <f aca="false">H42-O42</f>
        <v>-4.06579059917964</v>
      </c>
      <c r="R42" s="47" t="n">
        <f aca="false">J42-N42</f>
        <v>4.804377</v>
      </c>
      <c r="S42" s="47" t="n">
        <f aca="false">K42-O42</f>
        <v>-3.228752</v>
      </c>
      <c r="U42" s="44" t="n">
        <v>3</v>
      </c>
      <c r="V42" s="44" t="n">
        <v>8</v>
      </c>
    </row>
    <row r="43" customFormat="false" ht="13.8" hidden="false" customHeight="false" outlineLevel="0" collapsed="false">
      <c r="A43" s="44" t="n">
        <v>3</v>
      </c>
      <c r="B43" s="44" t="n">
        <v>9</v>
      </c>
      <c r="C43" s="47" t="n">
        <f aca="false">((A43-1)*9+(B43))/108</f>
        <v>0.25</v>
      </c>
      <c r="D43" s="47" t="n">
        <f aca="false">MIN(ABS(C43*12-0.5),12-ABS(C43*12-0.5))/6</f>
        <v>0.416666666666667</v>
      </c>
      <c r="E43" s="47" t="n">
        <f aca="false">6*D43^5-15*D43^4+10*D43^3</f>
        <v>0.346619405864198</v>
      </c>
      <c r="F43" s="47" t="n">
        <f aca="false">E43*F$3</f>
        <v>11.2651306905864</v>
      </c>
      <c r="G43" s="47" t="n">
        <f aca="false">$F$4+F43+(-0.5*$F$10)</f>
        <v>-5.78486930941357</v>
      </c>
      <c r="H43" s="47" t="n">
        <f aca="false">$F$4+F43+(0.5*$F$10)</f>
        <v>1.81513069058644</v>
      </c>
      <c r="J43" s="44" t="n">
        <v>-6.3</v>
      </c>
      <c r="K43" s="44" t="n">
        <v>2.8</v>
      </c>
      <c r="L43" s="44" t="n">
        <f aca="false">G43-J43</f>
        <v>0.515130690586435</v>
      </c>
      <c r="M43" s="44" t="n">
        <f aca="false">H43-K43</f>
        <v>-0.984869309413565</v>
      </c>
      <c r="N43" s="44" t="n">
        <v>-11.7226</v>
      </c>
      <c r="O43" s="44" t="n">
        <v>7.1989217</v>
      </c>
      <c r="P43" s="47" t="n">
        <f aca="false">G43-N43</f>
        <v>5.93773069058644</v>
      </c>
      <c r="Q43" s="47" t="n">
        <f aca="false">H43-O43</f>
        <v>-5.38379100941357</v>
      </c>
      <c r="R43" s="47" t="n">
        <f aca="false">J43-N43</f>
        <v>5.4226</v>
      </c>
      <c r="S43" s="47" t="n">
        <f aca="false">K43-O43</f>
        <v>-4.3989217</v>
      </c>
      <c r="U43" s="44" t="n">
        <v>3</v>
      </c>
      <c r="V43" s="44" t="n">
        <v>9</v>
      </c>
    </row>
    <row r="44" customFormat="false" ht="13.8" hidden="false" customHeight="false" outlineLevel="0" collapsed="false">
      <c r="A44" s="44" t="n">
        <v>4</v>
      </c>
      <c r="B44" s="44" t="n">
        <v>1</v>
      </c>
      <c r="C44" s="47" t="n">
        <f aca="false">((A44-1)*9+(B44))/108</f>
        <v>0.259259259259259</v>
      </c>
      <c r="D44" s="47" t="n">
        <f aca="false">MIN(ABS(C44*12-0.5),12-ABS(C44*12-0.5))/6</f>
        <v>0.435185185185185</v>
      </c>
      <c r="E44" s="47" t="n">
        <f aca="false">6*D44^5-15*D44^4+10*D44^3</f>
        <v>0.379826781378496</v>
      </c>
      <c r="F44" s="47" t="n">
        <f aca="false">E44*F$3</f>
        <v>12.3443703948011</v>
      </c>
      <c r="G44" s="47" t="n">
        <f aca="false">$F$4+F44+(-0.5*$F$10)</f>
        <v>-4.70562960519888</v>
      </c>
      <c r="H44" s="47" t="n">
        <f aca="false">$F$4+F44+(0.5*$F$10)</f>
        <v>2.89437039480112</v>
      </c>
      <c r="J44" s="44" t="n">
        <v>-6</v>
      </c>
      <c r="K44" s="44" t="n">
        <v>4.7</v>
      </c>
      <c r="L44" s="44" t="n">
        <f aca="false">G44-J44</f>
        <v>1.29437039480112</v>
      </c>
      <c r="M44" s="44" t="n">
        <f aca="false">H44-K44</f>
        <v>-1.80562960519888</v>
      </c>
      <c r="N44" s="44" t="n">
        <v>-10.869858</v>
      </c>
      <c r="O44" s="44" t="n">
        <v>8.718765</v>
      </c>
      <c r="P44" s="47" t="n">
        <f aca="false">G44-N44</f>
        <v>6.16422839480112</v>
      </c>
      <c r="Q44" s="47" t="n">
        <f aca="false">H44-O44</f>
        <v>-5.82439460519888</v>
      </c>
      <c r="R44" s="47" t="n">
        <f aca="false">J44-N44</f>
        <v>4.869858</v>
      </c>
      <c r="S44" s="47" t="n">
        <f aca="false">K44-O44</f>
        <v>-4.018765</v>
      </c>
      <c r="U44" s="44" t="n">
        <v>4</v>
      </c>
      <c r="V44" s="44" t="n">
        <v>1</v>
      </c>
    </row>
    <row r="45" customFormat="false" ht="13.8" hidden="false" customHeight="false" outlineLevel="0" collapsed="false">
      <c r="A45" s="44" t="n">
        <v>4</v>
      </c>
      <c r="B45" s="44" t="n">
        <v>2</v>
      </c>
      <c r="C45" s="47" t="n">
        <f aca="false">((A45-1)*9+(B45))/108</f>
        <v>0.268518518518519</v>
      </c>
      <c r="D45" s="47" t="n">
        <f aca="false">MIN(ABS(C45*12-0.5),12-ABS(C45*12-0.5))/6</f>
        <v>0.453703703703704</v>
      </c>
      <c r="E45" s="47" t="n">
        <f aca="false">6*D45^5-15*D45^4+10*D45^3</f>
        <v>0.413689313501588</v>
      </c>
      <c r="F45" s="47" t="n">
        <f aca="false">E45*F$3</f>
        <v>13.4449026888016</v>
      </c>
      <c r="G45" s="47" t="n">
        <f aca="false">$F$4+F45+(-0.5*$F$10)</f>
        <v>-3.60509731119839</v>
      </c>
      <c r="H45" s="47" t="n">
        <f aca="false">$F$4+F45+(0.5*$F$10)</f>
        <v>3.99490268880161</v>
      </c>
      <c r="J45" s="44" t="n">
        <v>-4</v>
      </c>
      <c r="K45" s="44" t="n">
        <v>5.3</v>
      </c>
      <c r="L45" s="44" t="n">
        <f aca="false">G45-J45</f>
        <v>0.394902688801611</v>
      </c>
      <c r="M45" s="44" t="n">
        <f aca="false">H45-K45</f>
        <v>-1.30509731119839</v>
      </c>
      <c r="N45" s="44" t="n">
        <v>-9.880151</v>
      </c>
      <c r="O45" s="44" t="n">
        <v>9.154615</v>
      </c>
      <c r="P45" s="47" t="n">
        <f aca="false">G45-N45</f>
        <v>6.27505368880161</v>
      </c>
      <c r="Q45" s="47" t="n">
        <f aca="false">H45-O45</f>
        <v>-5.15971231119839</v>
      </c>
      <c r="R45" s="47" t="n">
        <f aca="false">J45-N45</f>
        <v>5.880151</v>
      </c>
      <c r="S45" s="47" t="n">
        <f aca="false">K45-O45</f>
        <v>-3.854615</v>
      </c>
      <c r="U45" s="44" t="n">
        <v>4</v>
      </c>
      <c r="V45" s="44" t="n">
        <v>2</v>
      </c>
    </row>
    <row r="46" customFormat="false" ht="13.8" hidden="false" customHeight="false" outlineLevel="0" collapsed="false">
      <c r="A46" s="44" t="n">
        <v>4</v>
      </c>
      <c r="B46" s="44" t="n">
        <v>3</v>
      </c>
      <c r="C46" s="47" t="n">
        <f aca="false">((A46-1)*9+(B46))/108</f>
        <v>0.277777777777778</v>
      </c>
      <c r="D46" s="47" t="n">
        <f aca="false">MIN(ABS(C46*12-0.5),12-ABS(C46*12-0.5))/6</f>
        <v>0.472222222222222</v>
      </c>
      <c r="E46" s="47" t="n">
        <f aca="false">6*D46^5-15*D46^4+10*D46^3</f>
        <v>0.448023734790174</v>
      </c>
      <c r="F46" s="47" t="n">
        <f aca="false">E46*F$3</f>
        <v>14.5607713806807</v>
      </c>
      <c r="G46" s="47" t="n">
        <f aca="false">$F$4+F46+(-0.5*$F$10)</f>
        <v>-2.48922861931935</v>
      </c>
      <c r="H46" s="47" t="n">
        <f aca="false">$F$4+F46+(0.5*$F$10)</f>
        <v>5.11077138068065</v>
      </c>
      <c r="J46" s="44" t="n">
        <v>-2.4</v>
      </c>
      <c r="K46" s="44" t="n">
        <v>7.5</v>
      </c>
      <c r="L46" s="44" t="n">
        <f aca="false">G46-J46</f>
        <v>-0.0892286193193459</v>
      </c>
      <c r="M46" s="44" t="n">
        <f aca="false">H46-K46</f>
        <v>-2.38922861931935</v>
      </c>
      <c r="N46" s="44" t="n">
        <v>-7.7173734</v>
      </c>
      <c r="O46" s="44" t="n">
        <v>9.874898</v>
      </c>
      <c r="P46" s="47" t="n">
        <f aca="false">G46-N46</f>
        <v>5.22814478068065</v>
      </c>
      <c r="Q46" s="47" t="n">
        <f aca="false">H46-O46</f>
        <v>-4.76412661931935</v>
      </c>
      <c r="R46" s="47" t="n">
        <f aca="false">J46-N46</f>
        <v>5.3173734</v>
      </c>
      <c r="S46" s="47" t="n">
        <f aca="false">K46-O46</f>
        <v>-2.374898</v>
      </c>
      <c r="U46" s="44" t="n">
        <v>4</v>
      </c>
      <c r="V46" s="44" t="n">
        <v>3</v>
      </c>
    </row>
    <row r="47" customFormat="false" ht="13.8" hidden="false" customHeight="false" outlineLevel="0" collapsed="false">
      <c r="A47" s="44" t="n">
        <v>4</v>
      </c>
      <c r="B47" s="44" t="n">
        <v>4</v>
      </c>
      <c r="C47" s="47" t="n">
        <f aca="false">((A47-1)*9+(B47))/108</f>
        <v>0.287037037037037</v>
      </c>
      <c r="D47" s="47" t="n">
        <f aca="false">MIN(ABS(C47*12-0.5),12-ABS(C47*12-0.5))/6</f>
        <v>0.490740740740741</v>
      </c>
      <c r="E47" s="47" t="n">
        <f aca="false">6*D47^5-15*D47^4+10*D47^3</f>
        <v>0.482642857641744</v>
      </c>
      <c r="F47" s="47" t="n">
        <f aca="false">E47*F$3</f>
        <v>15.6858928733567</v>
      </c>
      <c r="G47" s="47" t="n">
        <f aca="false">$F$4+F47+(-0.5*$F$10)</f>
        <v>-1.36410712664332</v>
      </c>
      <c r="H47" s="47" t="n">
        <f aca="false">$F$4+F47+(0.5*$F$10)</f>
        <v>6.23589287335668</v>
      </c>
      <c r="J47" s="44" t="n">
        <v>-0.9</v>
      </c>
      <c r="K47" s="44" t="n">
        <v>7.1</v>
      </c>
      <c r="L47" s="44" t="n">
        <f aca="false">G47-J47</f>
        <v>-0.46410712664332</v>
      </c>
      <c r="M47" s="44" t="n">
        <f aca="false">H47-K47</f>
        <v>-0.86410712664332</v>
      </c>
      <c r="N47" s="44" t="n">
        <v>-7.356467</v>
      </c>
      <c r="O47" s="44" t="n">
        <v>11.853586</v>
      </c>
      <c r="P47" s="47" t="n">
        <f aca="false">G47-N47</f>
        <v>5.99235987335668</v>
      </c>
      <c r="Q47" s="47" t="n">
        <f aca="false">H47-O47</f>
        <v>-5.61769312664332</v>
      </c>
      <c r="R47" s="47" t="n">
        <f aca="false">J47-N47</f>
        <v>6.456467</v>
      </c>
      <c r="S47" s="47" t="n">
        <f aca="false">K47-O47</f>
        <v>-4.753586</v>
      </c>
      <c r="U47" s="44" t="n">
        <v>4</v>
      </c>
      <c r="V47" s="44" t="n">
        <v>4</v>
      </c>
    </row>
    <row r="48" customFormat="false" ht="13.8" hidden="false" customHeight="false" outlineLevel="0" collapsed="false">
      <c r="A48" s="44" t="n">
        <v>4</v>
      </c>
      <c r="B48" s="44" t="n">
        <v>5</v>
      </c>
      <c r="C48" s="47" t="n">
        <f aca="false">((A48-1)*9+(B48))/108</f>
        <v>0.296296296296296</v>
      </c>
      <c r="D48" s="47" t="n">
        <f aca="false">MIN(ABS(C48*12-0.5),12-ABS(C48*12-0.5))/6</f>
        <v>0.509259259259259</v>
      </c>
      <c r="E48" s="47" t="n">
        <f aca="false">6*D48^5-15*D48^4+10*D48^3</f>
        <v>0.517357142358256</v>
      </c>
      <c r="F48" s="47" t="n">
        <f aca="false">E48*F$3</f>
        <v>16.8141071266433</v>
      </c>
      <c r="G48" s="47" t="n">
        <f aca="false">$F$4+F48+(-0.5*$F$10)</f>
        <v>-0.235892873356678</v>
      </c>
      <c r="H48" s="47" t="n">
        <f aca="false">$F$4+F48+(0.5*$F$10)</f>
        <v>7.36410712664332</v>
      </c>
      <c r="J48" s="44" t="n">
        <v>-0.3</v>
      </c>
      <c r="K48" s="44" t="n">
        <v>8.1</v>
      </c>
      <c r="L48" s="44" t="n">
        <f aca="false">G48-J48</f>
        <v>0.0641071266433217</v>
      </c>
      <c r="M48" s="44" t="n">
        <f aca="false">H48-K48</f>
        <v>-0.735892873356678</v>
      </c>
      <c r="N48" s="44" t="n">
        <v>-5.3687825</v>
      </c>
      <c r="O48" s="44" t="n">
        <v>13.492847</v>
      </c>
      <c r="P48" s="47" t="n">
        <f aca="false">G48-N48</f>
        <v>5.13288962664332</v>
      </c>
      <c r="Q48" s="47" t="n">
        <f aca="false">H48-O48</f>
        <v>-6.12873987335668</v>
      </c>
      <c r="R48" s="47" t="n">
        <f aca="false">J48-N48</f>
        <v>5.0687825</v>
      </c>
      <c r="S48" s="47" t="n">
        <f aca="false">K48-O48</f>
        <v>-5.392847</v>
      </c>
      <c r="U48" s="44" t="n">
        <v>4</v>
      </c>
      <c r="V48" s="44" t="n">
        <v>5</v>
      </c>
    </row>
    <row r="49" customFormat="false" ht="13.8" hidden="false" customHeight="false" outlineLevel="0" collapsed="false">
      <c r="A49" s="44" t="n">
        <v>4</v>
      </c>
      <c r="B49" s="44" t="n">
        <v>6</v>
      </c>
      <c r="C49" s="47" t="n">
        <f aca="false">((A49-1)*9+(B49))/108</f>
        <v>0.305555555555556</v>
      </c>
      <c r="D49" s="47" t="n">
        <f aca="false">MIN(ABS(C49*12-0.5),12-ABS(C49*12-0.5))/6</f>
        <v>0.527777777777778</v>
      </c>
      <c r="E49" s="47" t="n">
        <f aca="false">6*D49^5-15*D49^4+10*D49^3</f>
        <v>0.551976265209826</v>
      </c>
      <c r="F49" s="47" t="n">
        <f aca="false">E49*F$3</f>
        <v>17.9392286193193</v>
      </c>
      <c r="G49" s="47" t="n">
        <f aca="false">$F$4+F49+(-0.5*$F$10)</f>
        <v>0.889228619319344</v>
      </c>
      <c r="H49" s="47" t="n">
        <f aca="false">$F$4+F49+(0.5*$F$10)</f>
        <v>8.48922861931935</v>
      </c>
      <c r="J49" s="44" t="n">
        <v>0.6</v>
      </c>
      <c r="K49" s="44" t="n">
        <v>9</v>
      </c>
      <c r="L49" s="44" t="n">
        <f aca="false">G49-J49</f>
        <v>0.289228619319344</v>
      </c>
      <c r="M49" s="44" t="n">
        <f aca="false">H49-K49</f>
        <v>-0.510771380680655</v>
      </c>
      <c r="N49" s="44" t="n">
        <v>-4.118557</v>
      </c>
      <c r="O49" s="44" t="n">
        <v>13.321497</v>
      </c>
      <c r="P49" s="47" t="n">
        <f aca="false">G49-N49</f>
        <v>5.00778561931934</v>
      </c>
      <c r="Q49" s="47" t="n">
        <f aca="false">H49-O49</f>
        <v>-4.83226838068066</v>
      </c>
      <c r="R49" s="47" t="n">
        <f aca="false">J49-N49</f>
        <v>4.718557</v>
      </c>
      <c r="S49" s="47" t="n">
        <f aca="false">K49-O49</f>
        <v>-4.321497</v>
      </c>
      <c r="U49" s="44" t="n">
        <v>4</v>
      </c>
      <c r="V49" s="44" t="n">
        <v>6</v>
      </c>
    </row>
    <row r="50" customFormat="false" ht="13.8" hidden="false" customHeight="false" outlineLevel="0" collapsed="false">
      <c r="A50" s="44" t="n">
        <v>4</v>
      </c>
      <c r="B50" s="44" t="n">
        <v>7</v>
      </c>
      <c r="C50" s="47" t="n">
        <f aca="false">((A50-1)*9+(B50))/108</f>
        <v>0.314814814814815</v>
      </c>
      <c r="D50" s="47" t="n">
        <f aca="false">MIN(ABS(C50*12-0.5),12-ABS(C50*12-0.5))/6</f>
        <v>0.546296296296296</v>
      </c>
      <c r="E50" s="47" t="n">
        <f aca="false">6*D50^5-15*D50^4+10*D50^3</f>
        <v>0.586310686498412</v>
      </c>
      <c r="F50" s="47" t="n">
        <f aca="false">E50*F$3</f>
        <v>19.0550973111984</v>
      </c>
      <c r="G50" s="47" t="n">
        <f aca="false">$F$4+F50+(-0.5*$F$10)</f>
        <v>2.00509731119839</v>
      </c>
      <c r="H50" s="47" t="n">
        <f aca="false">$F$4+F50+(0.5*$F$10)</f>
        <v>9.60509731119839</v>
      </c>
      <c r="J50" s="44" t="n">
        <v>1.5</v>
      </c>
      <c r="K50" s="44" t="n">
        <v>10.9</v>
      </c>
      <c r="L50" s="44" t="n">
        <f aca="false">G50-J50</f>
        <v>0.505097311198392</v>
      </c>
      <c r="M50" s="44" t="n">
        <f aca="false">H50-K50</f>
        <v>-1.29490268880161</v>
      </c>
      <c r="N50" s="44" t="n">
        <v>-2.7348363</v>
      </c>
      <c r="O50" s="44" t="n">
        <v>16.63224</v>
      </c>
      <c r="P50" s="47" t="n">
        <f aca="false">G50-N50</f>
        <v>4.73993361119839</v>
      </c>
      <c r="Q50" s="47" t="n">
        <f aca="false">H50-O50</f>
        <v>-7.02714268880161</v>
      </c>
      <c r="R50" s="47" t="n">
        <f aca="false">J50-N50</f>
        <v>4.2348363</v>
      </c>
      <c r="S50" s="47" t="n">
        <f aca="false">K50-O50</f>
        <v>-5.73224</v>
      </c>
      <c r="U50" s="44" t="n">
        <v>4</v>
      </c>
      <c r="V50" s="44" t="n">
        <v>7</v>
      </c>
    </row>
    <row r="51" customFormat="false" ht="13.8" hidden="false" customHeight="false" outlineLevel="0" collapsed="false">
      <c r="A51" s="44" t="n">
        <v>4</v>
      </c>
      <c r="B51" s="44" t="n">
        <v>8</v>
      </c>
      <c r="C51" s="47" t="n">
        <f aca="false">((A51-1)*9+(B51))/108</f>
        <v>0.324074074074074</v>
      </c>
      <c r="D51" s="47" t="n">
        <f aca="false">MIN(ABS(C51*12-0.5),12-ABS(C51*12-0.5))/6</f>
        <v>0.564814814814815</v>
      </c>
      <c r="E51" s="47" t="n">
        <f aca="false">6*D51^5-15*D51^4+10*D51^3</f>
        <v>0.620173218621504</v>
      </c>
      <c r="F51" s="47" t="n">
        <f aca="false">E51*F$3</f>
        <v>20.1556296051989</v>
      </c>
      <c r="G51" s="47" t="n">
        <f aca="false">$F$4+F51+(-0.5*$F$10)</f>
        <v>3.10562960519888</v>
      </c>
      <c r="H51" s="47" t="n">
        <f aca="false">$F$4+F51+(0.5*$F$10)</f>
        <v>10.7056296051989</v>
      </c>
      <c r="J51" s="44" t="n">
        <v>2.5</v>
      </c>
      <c r="K51" s="44" t="n">
        <v>12.5</v>
      </c>
      <c r="L51" s="44" t="n">
        <f aca="false">G51-J51</f>
        <v>0.605629605198879</v>
      </c>
      <c r="M51" s="44" t="n">
        <f aca="false">H51-K51</f>
        <v>-1.79437039480112</v>
      </c>
      <c r="N51" s="44" t="n">
        <v>-1.994472</v>
      </c>
      <c r="O51" s="44" t="n">
        <v>17.31736</v>
      </c>
      <c r="P51" s="47" t="n">
        <f aca="false">G51-N51</f>
        <v>5.10010160519888</v>
      </c>
      <c r="Q51" s="47" t="n">
        <f aca="false">H51-O51</f>
        <v>-6.61173039480112</v>
      </c>
      <c r="R51" s="47" t="n">
        <f aca="false">J51-N51</f>
        <v>4.494472</v>
      </c>
      <c r="S51" s="47" t="n">
        <f aca="false">K51-O51</f>
        <v>-4.81736</v>
      </c>
      <c r="U51" s="44" t="n">
        <v>4</v>
      </c>
      <c r="V51" s="44" t="n">
        <v>8</v>
      </c>
    </row>
    <row r="52" customFormat="false" ht="13.8" hidden="false" customHeight="false" outlineLevel="0" collapsed="false">
      <c r="A52" s="44" t="n">
        <v>4</v>
      </c>
      <c r="B52" s="44" t="n">
        <v>9</v>
      </c>
      <c r="C52" s="47" t="n">
        <f aca="false">((A52-1)*9+(B52))/108</f>
        <v>0.333333333333333</v>
      </c>
      <c r="D52" s="47" t="n">
        <f aca="false">MIN(ABS(C52*12-0.5),12-ABS(C52*12-0.5))/6</f>
        <v>0.583333333333333</v>
      </c>
      <c r="E52" s="47" t="n">
        <f aca="false">6*D52^5-15*D52^4+10*D52^3</f>
        <v>0.653380594135803</v>
      </c>
      <c r="F52" s="47" t="n">
        <f aca="false">E52*F$3</f>
        <v>21.2348693094136</v>
      </c>
      <c r="G52" s="47" t="n">
        <f aca="false">$F$4+F52+(-0.5*$F$10)</f>
        <v>4.1848693094136</v>
      </c>
      <c r="H52" s="47" t="n">
        <f aca="false">$F$4+F52+(0.5*$F$10)</f>
        <v>11.7848693094136</v>
      </c>
      <c r="J52" s="44" t="n">
        <v>3.3</v>
      </c>
      <c r="K52" s="44" t="n">
        <v>14.8</v>
      </c>
      <c r="L52" s="44" t="n">
        <f aca="false">G52-J52</f>
        <v>0.884869309413597</v>
      </c>
      <c r="M52" s="44" t="n">
        <f aca="false">H52-K52</f>
        <v>-3.0151306905864</v>
      </c>
      <c r="N52" s="44" t="n">
        <v>-1.2134322</v>
      </c>
      <c r="O52" s="44" t="n">
        <v>18.356749</v>
      </c>
      <c r="P52" s="47" t="n">
        <f aca="false">G52-N52</f>
        <v>5.3983015094136</v>
      </c>
      <c r="Q52" s="47" t="n">
        <f aca="false">H52-O52</f>
        <v>-6.5718796905864</v>
      </c>
      <c r="R52" s="47" t="n">
        <f aca="false">J52-N52</f>
        <v>4.5134322</v>
      </c>
      <c r="S52" s="47" t="n">
        <f aca="false">K52-O52</f>
        <v>-3.556749</v>
      </c>
      <c r="U52" s="44" t="n">
        <v>4</v>
      </c>
      <c r="V52" s="44" t="n">
        <v>9</v>
      </c>
    </row>
    <row r="53" customFormat="false" ht="13.8" hidden="false" customHeight="false" outlineLevel="0" collapsed="false">
      <c r="A53" s="44" t="n">
        <v>5</v>
      </c>
      <c r="B53" s="44" t="n">
        <v>1</v>
      </c>
      <c r="C53" s="47" t="n">
        <f aca="false">((A53-1)*9+(B53))/108</f>
        <v>0.342592592592593</v>
      </c>
      <c r="D53" s="47" t="n">
        <f aca="false">MIN(ABS(C53*12-0.5),12-ABS(C53*12-0.5))/6</f>
        <v>0.601851851851852</v>
      </c>
      <c r="E53" s="47" t="n">
        <f aca="false">6*D53^5-15*D53^4+10*D53^3</f>
        <v>0.685755033820913</v>
      </c>
      <c r="F53" s="47" t="n">
        <f aca="false">E53*F$3</f>
        <v>22.2870385991797</v>
      </c>
      <c r="G53" s="47" t="n">
        <f aca="false">$F$4+F53+(-0.5*$F$10)</f>
        <v>5.23703859917967</v>
      </c>
      <c r="H53" s="47" t="n">
        <f aca="false">$F$4+F53+(0.5*$F$10)</f>
        <v>12.8370385991797</v>
      </c>
      <c r="J53" s="44" t="n">
        <v>5.5</v>
      </c>
      <c r="K53" s="44" t="n">
        <v>14.4</v>
      </c>
      <c r="L53" s="44" t="n">
        <f aca="false">G53-J53</f>
        <v>-0.26296140082033</v>
      </c>
      <c r="M53" s="44" t="n">
        <f aca="false">H53-K53</f>
        <v>-1.56296140082033</v>
      </c>
      <c r="N53" s="44" t="n">
        <v>0.9698309</v>
      </c>
      <c r="O53" s="44" t="n">
        <v>18.469675</v>
      </c>
      <c r="P53" s="47" t="n">
        <f aca="false">G53-N53</f>
        <v>4.26720769917967</v>
      </c>
      <c r="Q53" s="47" t="n">
        <f aca="false">H53-O53</f>
        <v>-5.63263640082033</v>
      </c>
      <c r="R53" s="47" t="n">
        <f aca="false">J53-N53</f>
        <v>4.5301691</v>
      </c>
      <c r="S53" s="47" t="n">
        <f aca="false">K53-O53</f>
        <v>-4.069675</v>
      </c>
      <c r="U53" s="44" t="n">
        <v>5</v>
      </c>
      <c r="V53" s="44" t="n">
        <v>1</v>
      </c>
    </row>
    <row r="54" customFormat="false" ht="13.8" hidden="false" customHeight="false" outlineLevel="0" collapsed="false">
      <c r="A54" s="44" t="n">
        <v>5</v>
      </c>
      <c r="B54" s="44" t="n">
        <v>2</v>
      </c>
      <c r="C54" s="47" t="n">
        <f aca="false">((A54-1)*9+(B54))/108</f>
        <v>0.351851851851852</v>
      </c>
      <c r="D54" s="47" t="n">
        <f aca="false">MIN(ABS(C54*12-0.5),12-ABS(C54*12-0.5))/6</f>
        <v>0.62037037037037</v>
      </c>
      <c r="E54" s="47" t="n">
        <f aca="false">6*D54^5-15*D54^4+10*D54^3</f>
        <v>0.717125814743023</v>
      </c>
      <c r="F54" s="47" t="n">
        <f aca="false">E54*F$3</f>
        <v>23.3065889791482</v>
      </c>
      <c r="G54" s="47" t="n">
        <f aca="false">$F$4+F54+(-0.5*$F$10)</f>
        <v>6.25658897914825</v>
      </c>
      <c r="H54" s="47" t="n">
        <f aca="false">$F$4+F54+(0.5*$F$10)</f>
        <v>13.8565889791482</v>
      </c>
      <c r="J54" s="44" t="n">
        <v>4.8</v>
      </c>
      <c r="K54" s="44" t="n">
        <v>16.6</v>
      </c>
      <c r="L54" s="44" t="n">
        <f aca="false">G54-J54</f>
        <v>1.45658897914825</v>
      </c>
      <c r="M54" s="44" t="n">
        <f aca="false">H54-K54</f>
        <v>-2.74341102085176</v>
      </c>
      <c r="N54" s="44" t="n">
        <v>1.8276335</v>
      </c>
      <c r="O54" s="44" t="n">
        <v>19.591866</v>
      </c>
      <c r="P54" s="47" t="n">
        <f aca="false">G54-N54</f>
        <v>4.42895547914825</v>
      </c>
      <c r="Q54" s="47" t="n">
        <f aca="false">H54-O54</f>
        <v>-5.73527702085175</v>
      </c>
      <c r="R54" s="47" t="n">
        <f aca="false">J54-N54</f>
        <v>2.9723665</v>
      </c>
      <c r="S54" s="47" t="n">
        <f aca="false">K54-O54</f>
        <v>-2.991866</v>
      </c>
      <c r="U54" s="44" t="n">
        <v>5</v>
      </c>
      <c r="V54" s="44" t="n">
        <v>2</v>
      </c>
    </row>
    <row r="55" customFormat="false" ht="13.8" hidden="false" customHeight="false" outlineLevel="0" collapsed="false">
      <c r="A55" s="44" t="n">
        <v>5</v>
      </c>
      <c r="B55" s="44" t="n">
        <v>3</v>
      </c>
      <c r="C55" s="47" t="n">
        <f aca="false">((A55-1)*9+(B55))/108</f>
        <v>0.361111111111111</v>
      </c>
      <c r="D55" s="47" t="n">
        <f aca="false">MIN(ABS(C55*12-0.5),12-ABS(C55*12-0.5))/6</f>
        <v>0.638888888888889</v>
      </c>
      <c r="E55" s="47" t="n">
        <f aca="false">6*D55^5-15*D55^4+10*D55^3</f>
        <v>0.7473308383186</v>
      </c>
      <c r="F55" s="47" t="n">
        <f aca="false">E55*F$3</f>
        <v>24.2882522453545</v>
      </c>
      <c r="G55" s="47" t="n">
        <f aca="false">$F$4+F55+(-0.5*$F$10)</f>
        <v>7.2382522453545</v>
      </c>
      <c r="H55" s="47" t="n">
        <f aca="false">$F$4+F55+(0.5*$F$10)</f>
        <v>14.8382522453545</v>
      </c>
      <c r="J55" s="44" t="n">
        <v>7.8</v>
      </c>
      <c r="K55" s="44" t="n">
        <v>17</v>
      </c>
      <c r="L55" s="44" t="n">
        <f aca="false">G55-J55</f>
        <v>-0.5617477546455</v>
      </c>
      <c r="M55" s="44" t="n">
        <f aca="false">H55-K55</f>
        <v>-2.1617477546455</v>
      </c>
      <c r="N55" s="44" t="n">
        <v>1.5871426</v>
      </c>
      <c r="O55" s="44" t="n">
        <v>20.672285</v>
      </c>
      <c r="P55" s="47" t="n">
        <f aca="false">G55-N55</f>
        <v>5.6511096453545</v>
      </c>
      <c r="Q55" s="47" t="n">
        <f aca="false">H55-O55</f>
        <v>-5.8340327546455</v>
      </c>
      <c r="R55" s="47" t="n">
        <f aca="false">J55-N55</f>
        <v>6.2128574</v>
      </c>
      <c r="S55" s="47" t="n">
        <f aca="false">K55-O55</f>
        <v>-3.672285</v>
      </c>
      <c r="U55" s="44" t="n">
        <v>5</v>
      </c>
      <c r="V55" s="44" t="n">
        <v>3</v>
      </c>
    </row>
    <row r="56" customFormat="false" ht="13.8" hidden="false" customHeight="false" outlineLevel="0" collapsed="false">
      <c r="A56" s="44" t="n">
        <v>5</v>
      </c>
      <c r="B56" s="44" t="n">
        <v>4</v>
      </c>
      <c r="C56" s="47" t="n">
        <f aca="false">((A56-1)*9+(B56))/108</f>
        <v>0.37037037037037</v>
      </c>
      <c r="D56" s="47" t="n">
        <f aca="false">MIN(ABS(C56*12-0.5),12-ABS(C56*12-0.5))/6</f>
        <v>0.657407407407407</v>
      </c>
      <c r="E56" s="47" t="n">
        <f aca="false">6*D56^5-15*D56^4+10*D56^3</f>
        <v>0.776218198378063</v>
      </c>
      <c r="F56" s="47" t="n">
        <f aca="false">E56*F$3</f>
        <v>25.227091447287</v>
      </c>
      <c r="G56" s="47" t="n">
        <f aca="false">$F$4+F56+(-0.5*$F$10)</f>
        <v>8.17709144728705</v>
      </c>
      <c r="H56" s="47" t="n">
        <f aca="false">$F$4+F56+(0.5*$F$10)</f>
        <v>15.777091447287</v>
      </c>
      <c r="J56" s="44" t="n">
        <v>8</v>
      </c>
      <c r="K56" s="44" t="n">
        <v>18.7</v>
      </c>
      <c r="L56" s="44" t="n">
        <f aca="false">G56-J56</f>
        <v>0.177091447287047</v>
      </c>
      <c r="M56" s="44" t="n">
        <f aca="false">H56-K56</f>
        <v>-2.92290855271295</v>
      </c>
      <c r="N56" s="44" t="n">
        <v>2.603102</v>
      </c>
      <c r="O56" s="44" t="n">
        <v>21.747538</v>
      </c>
      <c r="P56" s="47" t="n">
        <f aca="false">G56-N56</f>
        <v>5.57398944728705</v>
      </c>
      <c r="Q56" s="47" t="n">
        <f aca="false">H56-O56</f>
        <v>-5.97044655271295</v>
      </c>
      <c r="R56" s="47" t="n">
        <f aca="false">J56-N56</f>
        <v>5.396898</v>
      </c>
      <c r="S56" s="47" t="n">
        <f aca="false">K56-O56</f>
        <v>-3.047538</v>
      </c>
      <c r="U56" s="44" t="n">
        <v>5</v>
      </c>
      <c r="V56" s="44" t="n">
        <v>4</v>
      </c>
    </row>
    <row r="57" customFormat="false" ht="13.8" hidden="false" customHeight="false" outlineLevel="0" collapsed="false">
      <c r="A57" s="44" t="n">
        <v>5</v>
      </c>
      <c r="B57" s="44" t="n">
        <v>5</v>
      </c>
      <c r="C57" s="47" t="n">
        <f aca="false">((A57-1)*9+(B57))/108</f>
        <v>0.37962962962963</v>
      </c>
      <c r="D57" s="47" t="n">
        <f aca="false">MIN(ABS(C57*12-0.5),12-ABS(C57*12-0.5))/6</f>
        <v>0.675925925925926</v>
      </c>
      <c r="E57" s="47" t="n">
        <f aca="false">6*D57^5-15*D57^4+10*D57^3</f>
        <v>0.80364774922948</v>
      </c>
      <c r="F57" s="47" t="n">
        <f aca="false">E57*F$3</f>
        <v>26.1185518499581</v>
      </c>
      <c r="G57" s="47" t="n">
        <f aca="false">$F$4+F57+(-0.5*$F$10)</f>
        <v>9.0685518499581</v>
      </c>
      <c r="H57" s="47" t="n">
        <f aca="false">$F$4+F57+(0.5*$F$10)</f>
        <v>16.6685518499581</v>
      </c>
      <c r="J57" s="44" t="n">
        <v>9.2</v>
      </c>
      <c r="K57" s="44" t="n">
        <v>18.9</v>
      </c>
      <c r="L57" s="44" t="n">
        <f aca="false">G57-J57</f>
        <v>-0.131448150041898</v>
      </c>
      <c r="M57" s="44" t="n">
        <f aca="false">H57-K57</f>
        <v>-2.2314481500419</v>
      </c>
      <c r="N57" s="44" t="n">
        <v>3.8399863</v>
      </c>
      <c r="O57" s="44" t="n">
        <v>21.446548</v>
      </c>
      <c r="P57" s="47" t="n">
        <f aca="false">G57-N57</f>
        <v>5.2285655499581</v>
      </c>
      <c r="Q57" s="47" t="n">
        <f aca="false">H57-O57</f>
        <v>-4.7779961500419</v>
      </c>
      <c r="R57" s="47" t="n">
        <f aca="false">J57-N57</f>
        <v>5.3600137</v>
      </c>
      <c r="S57" s="47" t="n">
        <f aca="false">K57-O57</f>
        <v>-2.546548</v>
      </c>
      <c r="U57" s="44" t="n">
        <v>5</v>
      </c>
      <c r="V57" s="44" t="n">
        <v>5</v>
      </c>
    </row>
    <row r="58" customFormat="false" ht="13.8" hidden="false" customHeight="false" outlineLevel="0" collapsed="false">
      <c r="A58" s="44" t="n">
        <v>5</v>
      </c>
      <c r="B58" s="44" t="n">
        <v>6</v>
      </c>
      <c r="C58" s="47" t="n">
        <f aca="false">((A58-1)*9+(B58))/108</f>
        <v>0.388888888888889</v>
      </c>
      <c r="D58" s="47" t="n">
        <f aca="false">MIN(ABS(C58*12-0.5),12-ABS(C58*12-0.5))/6</f>
        <v>0.694444444444444</v>
      </c>
      <c r="E58" s="47" t="n">
        <f aca="false">6*D58^5-15*D58^4+10*D58^3</f>
        <v>0.829492673722248</v>
      </c>
      <c r="F58" s="47" t="n">
        <f aca="false">E58*F$3</f>
        <v>26.9585118959731</v>
      </c>
      <c r="G58" s="47" t="n">
        <f aca="false">$F$4+F58+(-0.5*$F$10)</f>
        <v>9.90851189597306</v>
      </c>
      <c r="H58" s="47" t="n">
        <f aca="false">$F$4+F58+(0.5*$F$10)</f>
        <v>17.5085118959731</v>
      </c>
      <c r="J58" s="44" t="n">
        <v>10.8</v>
      </c>
      <c r="K58" s="44" t="n">
        <v>19</v>
      </c>
      <c r="L58" s="44" t="n">
        <f aca="false">G58-J58</f>
        <v>-0.891488104026941</v>
      </c>
      <c r="M58" s="44" t="n">
        <f aca="false">H58-K58</f>
        <v>-1.49148810402694</v>
      </c>
      <c r="N58" s="44" t="n">
        <v>4.9612575</v>
      </c>
      <c r="O58" s="44" t="n">
        <v>24.339083</v>
      </c>
      <c r="P58" s="47" t="n">
        <f aca="false">G58-N58</f>
        <v>4.94725439597306</v>
      </c>
      <c r="Q58" s="47" t="n">
        <f aca="false">H58-O58</f>
        <v>-6.83057110402694</v>
      </c>
      <c r="R58" s="47" t="n">
        <f aca="false">J58-N58</f>
        <v>5.8387425</v>
      </c>
      <c r="S58" s="47" t="n">
        <f aca="false">K58-O58</f>
        <v>-5.339083</v>
      </c>
      <c r="U58" s="44" t="n">
        <v>5</v>
      </c>
      <c r="V58" s="44" t="n">
        <v>6</v>
      </c>
    </row>
    <row r="59" customFormat="false" ht="13.8" hidden="false" customHeight="false" outlineLevel="0" collapsed="false">
      <c r="A59" s="44" t="n">
        <v>5</v>
      </c>
      <c r="B59" s="44" t="n">
        <v>7</v>
      </c>
      <c r="C59" s="47" t="n">
        <f aca="false">((A59-1)*9+(B59))/108</f>
        <v>0.398148148148148</v>
      </c>
      <c r="D59" s="47" t="n">
        <f aca="false">MIN(ABS(C59*12-0.5),12-ABS(C59*12-0.5))/6</f>
        <v>0.712962962962963</v>
      </c>
      <c r="E59" s="47" t="n">
        <f aca="false">6*D59^5-15*D59^4+10*D59^3</f>
        <v>0.853641051310781</v>
      </c>
      <c r="F59" s="47" t="n">
        <f aca="false">E59*F$3</f>
        <v>27.7433341676004</v>
      </c>
      <c r="G59" s="47" t="n">
        <f aca="false">$F$4+F59+(-0.5*$F$10)</f>
        <v>10.6933341676004</v>
      </c>
      <c r="H59" s="47" t="n">
        <f aca="false">$F$4+F59+(0.5*$F$10)</f>
        <v>18.2933341676004</v>
      </c>
      <c r="J59" s="44" t="n">
        <v>10.7</v>
      </c>
      <c r="K59" s="44" t="n">
        <v>21.2</v>
      </c>
      <c r="L59" s="44" t="n">
        <f aca="false">G59-J59</f>
        <v>-0.00666583239961582</v>
      </c>
      <c r="M59" s="44" t="n">
        <f aca="false">H59-K59</f>
        <v>-2.90666583239961</v>
      </c>
      <c r="N59" s="44" t="n">
        <v>5.439605</v>
      </c>
      <c r="O59" s="44" t="n">
        <v>24.346977</v>
      </c>
      <c r="P59" s="47" t="n">
        <f aca="false">G59-N59</f>
        <v>5.25372916760038</v>
      </c>
      <c r="Q59" s="47" t="n">
        <f aca="false">H59-O59</f>
        <v>-6.05364283239961</v>
      </c>
      <c r="R59" s="47" t="n">
        <f aca="false">J59-N59</f>
        <v>5.260395</v>
      </c>
      <c r="S59" s="47" t="n">
        <f aca="false">K59-O59</f>
        <v>-3.146977</v>
      </c>
      <c r="U59" s="44" t="n">
        <v>5</v>
      </c>
      <c r="V59" s="44" t="n">
        <v>7</v>
      </c>
    </row>
    <row r="60" customFormat="false" ht="13.8" hidden="false" customHeight="false" outlineLevel="0" collapsed="false">
      <c r="A60" s="44" t="n">
        <v>5</v>
      </c>
      <c r="B60" s="44" t="n">
        <v>8</v>
      </c>
      <c r="C60" s="47" t="n">
        <f aca="false">((A60-1)*9+(B60))/108</f>
        <v>0.407407407407407</v>
      </c>
      <c r="D60" s="47" t="n">
        <f aca="false">MIN(ABS(C60*12-0.5),12-ABS(C60*12-0.5))/6</f>
        <v>0.731481481481481</v>
      </c>
      <c r="E60" s="47" t="n">
        <f aca="false">6*D60^5-15*D60^4+10*D60^3</f>
        <v>0.875997426118197</v>
      </c>
      <c r="F60" s="47" t="n">
        <f aca="false">E60*F$3</f>
        <v>28.4699163488414</v>
      </c>
      <c r="G60" s="47" t="n">
        <f aca="false">$F$4+F60+(-0.5*$F$10)</f>
        <v>11.4199163488414</v>
      </c>
      <c r="H60" s="47" t="n">
        <f aca="false">$F$4+F60+(0.5*$F$10)</f>
        <v>19.0199163488414</v>
      </c>
      <c r="J60" s="44" t="n">
        <v>12.3</v>
      </c>
      <c r="K60" s="44" t="n">
        <v>21</v>
      </c>
      <c r="L60" s="44" t="n">
        <f aca="false">G60-J60</f>
        <v>-0.8800836511586</v>
      </c>
      <c r="M60" s="44" t="n">
        <f aca="false">H60-K60</f>
        <v>-1.9800836511586</v>
      </c>
      <c r="N60" s="44" t="n">
        <v>7.39965</v>
      </c>
      <c r="O60" s="44" t="n">
        <v>25.951073</v>
      </c>
      <c r="P60" s="47" t="n">
        <f aca="false">G60-N60</f>
        <v>4.0202663488414</v>
      </c>
      <c r="Q60" s="47" t="n">
        <f aca="false">H60-O60</f>
        <v>-6.9311566511586</v>
      </c>
      <c r="R60" s="47" t="n">
        <f aca="false">J60-N60</f>
        <v>4.90035</v>
      </c>
      <c r="S60" s="47" t="n">
        <f aca="false">K60-O60</f>
        <v>-4.951073</v>
      </c>
      <c r="U60" s="44" t="n">
        <v>5</v>
      </c>
      <c r="V60" s="44" t="n">
        <v>8</v>
      </c>
    </row>
    <row r="61" customFormat="false" ht="13.8" hidden="false" customHeight="false" outlineLevel="0" collapsed="false">
      <c r="A61" s="44" t="n">
        <v>5</v>
      </c>
      <c r="B61" s="44" t="n">
        <v>9</v>
      </c>
      <c r="C61" s="47" t="n">
        <f aca="false">((A61-1)*9+(B61))/108</f>
        <v>0.416666666666667</v>
      </c>
      <c r="D61" s="47" t="n">
        <f aca="false">MIN(ABS(C61*12-0.5),12-ABS(C61*12-0.5))/6</f>
        <v>0.75</v>
      </c>
      <c r="E61" s="47" t="n">
        <f aca="false">6*D61^5-15*D61^4+10*D61^3</f>
        <v>0.896484375</v>
      </c>
      <c r="F61" s="47" t="n">
        <f aca="false">E61*F$3</f>
        <v>29.1357421875</v>
      </c>
      <c r="G61" s="47" t="n">
        <f aca="false">$F$4+F61+(-0.5*$F$10)</f>
        <v>12.0857421875</v>
      </c>
      <c r="H61" s="47" t="n">
        <f aca="false">$F$4+F61+(0.5*$F$10)</f>
        <v>19.6857421875</v>
      </c>
      <c r="J61" s="44" t="n">
        <v>13.3</v>
      </c>
      <c r="K61" s="44" t="n">
        <v>22.3</v>
      </c>
      <c r="L61" s="44" t="n">
        <f aca="false">G61-J61</f>
        <v>-1.2142578125</v>
      </c>
      <c r="M61" s="44" t="n">
        <f aca="false">H61-K61</f>
        <v>-2.6142578125</v>
      </c>
      <c r="N61" s="44" t="n">
        <v>7.924348</v>
      </c>
      <c r="O61" s="44" t="n">
        <v>26.220196</v>
      </c>
      <c r="P61" s="47" t="n">
        <f aca="false">G61-N61</f>
        <v>4.1613941875</v>
      </c>
      <c r="Q61" s="47" t="n">
        <f aca="false">H61-O61</f>
        <v>-6.5344538125</v>
      </c>
      <c r="R61" s="47" t="n">
        <f aca="false">J61-N61</f>
        <v>5.375652</v>
      </c>
      <c r="S61" s="47" t="n">
        <f aca="false">K61-O61</f>
        <v>-3.920196</v>
      </c>
      <c r="U61" s="44" t="n">
        <v>5</v>
      </c>
      <c r="V61" s="44" t="n">
        <v>9</v>
      </c>
    </row>
    <row r="62" customFormat="false" ht="13.8" hidden="false" customHeight="false" outlineLevel="0" collapsed="false">
      <c r="A62" s="44" t="n">
        <v>6</v>
      </c>
      <c r="B62" s="44" t="n">
        <v>1</v>
      </c>
      <c r="C62" s="47" t="n">
        <f aca="false">((A62-1)*9+(B62))/108</f>
        <v>0.425925925925926</v>
      </c>
      <c r="D62" s="47" t="n">
        <f aca="false">MIN(ABS(C62*12-0.5),12-ABS(C62*12-0.5))/6</f>
        <v>0.768518518518518</v>
      </c>
      <c r="E62" s="47" t="n">
        <f aca="false">6*D62^5-15*D62^4+10*D62^3</f>
        <v>0.915044075607771</v>
      </c>
      <c r="F62" s="47" t="n">
        <f aca="false">E62*F$3</f>
        <v>29.7389324572526</v>
      </c>
      <c r="G62" s="47" t="n">
        <f aca="false">$F$4+F62+(-0.5*$F$10)</f>
        <v>12.6889324572526</v>
      </c>
      <c r="H62" s="47" t="n">
        <f aca="false">$F$4+F62+(0.5*$F$10)</f>
        <v>20.2889324572526</v>
      </c>
      <c r="J62" s="44" t="n">
        <v>14.3</v>
      </c>
      <c r="K62" s="44" t="n">
        <v>22.7</v>
      </c>
      <c r="L62" s="44" t="n">
        <f aca="false">G62-J62</f>
        <v>-1.61106754274744</v>
      </c>
      <c r="M62" s="44" t="n">
        <f aca="false">H62-K62</f>
        <v>-2.41106754274744</v>
      </c>
      <c r="N62" s="44" t="n">
        <v>9.729364</v>
      </c>
      <c r="O62" s="44" t="n">
        <v>27.229103</v>
      </c>
      <c r="P62" s="47" t="n">
        <f aca="false">G62-N62</f>
        <v>2.95956845725256</v>
      </c>
      <c r="Q62" s="47" t="n">
        <f aca="false">H62-O62</f>
        <v>-6.94017054274744</v>
      </c>
      <c r="R62" s="47" t="n">
        <f aca="false">J62-N62</f>
        <v>4.570636</v>
      </c>
      <c r="S62" s="47" t="n">
        <f aca="false">K62-O62</f>
        <v>-4.529103</v>
      </c>
      <c r="U62" s="44" t="n">
        <v>6</v>
      </c>
      <c r="V62" s="44" t="n">
        <v>1</v>
      </c>
    </row>
    <row r="63" customFormat="false" ht="13.8" hidden="false" customHeight="false" outlineLevel="0" collapsed="false">
      <c r="A63" s="44" t="n">
        <v>6</v>
      </c>
      <c r="B63" s="44" t="n">
        <v>2</v>
      </c>
      <c r="C63" s="47" t="n">
        <f aca="false">((A63-1)*9+(B63))/108</f>
        <v>0.435185185185185</v>
      </c>
      <c r="D63" s="47" t="n">
        <f aca="false">MIN(ABS(C63*12-0.5),12-ABS(C63*12-0.5))/6</f>
        <v>0.787037037037037</v>
      </c>
      <c r="E63" s="47" t="n">
        <f aca="false">6*D63^5-15*D63^4+10*D63^3</f>
        <v>0.93163987445285</v>
      </c>
      <c r="F63" s="47" t="n">
        <f aca="false">E63*F$3</f>
        <v>30.2782959197176</v>
      </c>
      <c r="G63" s="47" t="n">
        <f aca="false">$F$4+F63+(-0.5*$F$10)</f>
        <v>13.2282959197176</v>
      </c>
      <c r="H63" s="47" t="n">
        <f aca="false">$F$4+F63+(0.5*$F$10)</f>
        <v>20.8282959197176</v>
      </c>
      <c r="J63" s="44" t="n">
        <v>12.8</v>
      </c>
      <c r="K63" s="44" t="n">
        <v>22.5</v>
      </c>
      <c r="L63" s="44" t="n">
        <f aca="false">G63-J63</f>
        <v>0.428295919717623</v>
      </c>
      <c r="M63" s="44" t="n">
        <f aca="false">H63-K63</f>
        <v>-1.67170408028237</v>
      </c>
      <c r="N63" s="44" t="n">
        <v>8.513084</v>
      </c>
      <c r="O63" s="44" t="n">
        <v>26.788668</v>
      </c>
      <c r="P63" s="47" t="n">
        <f aca="false">G63-N63</f>
        <v>4.71521191971763</v>
      </c>
      <c r="Q63" s="47" t="n">
        <f aca="false">H63-O63</f>
        <v>-5.96037208028238</v>
      </c>
      <c r="R63" s="47" t="n">
        <f aca="false">J63-N63</f>
        <v>4.286916</v>
      </c>
      <c r="S63" s="47" t="n">
        <f aca="false">K63-O63</f>
        <v>-4.288668</v>
      </c>
      <c r="U63" s="44" t="n">
        <v>6</v>
      </c>
      <c r="V63" s="44" t="n">
        <v>2</v>
      </c>
    </row>
    <row r="64" customFormat="false" ht="13.8" hidden="false" customHeight="false" outlineLevel="0" collapsed="false">
      <c r="A64" s="44" t="n">
        <v>6</v>
      </c>
      <c r="B64" s="44" t="n">
        <v>3</v>
      </c>
      <c r="C64" s="47" t="n">
        <f aca="false">((A64-1)*9+(B64))/108</f>
        <v>0.444444444444444</v>
      </c>
      <c r="D64" s="47" t="n">
        <f aca="false">MIN(ABS(C64*12-0.5),12-ABS(C64*12-0.5))/6</f>
        <v>0.805555555555555</v>
      </c>
      <c r="E64" s="47" t="n">
        <f aca="false">6*D64^5-15*D64^4+10*D64^3</f>
        <v>0.946257854970024</v>
      </c>
      <c r="F64" s="47" t="n">
        <f aca="false">E64*F$3</f>
        <v>30.7533802865258</v>
      </c>
      <c r="G64" s="47" t="n">
        <f aca="false">$F$4+F64+(-0.5*$F$10)</f>
        <v>13.7033802865258</v>
      </c>
      <c r="H64" s="47" t="n">
        <f aca="false">$F$4+F64+(0.5*$F$10)</f>
        <v>21.3033802865258</v>
      </c>
      <c r="J64" s="44" t="n">
        <v>14.6</v>
      </c>
      <c r="K64" s="44" t="n">
        <v>24</v>
      </c>
      <c r="L64" s="44" t="n">
        <f aca="false">G64-J64</f>
        <v>-0.896619713474221</v>
      </c>
      <c r="M64" s="44" t="n">
        <f aca="false">H64-K64</f>
        <v>-2.69661971347422</v>
      </c>
      <c r="N64" s="44" t="n">
        <v>9.554385</v>
      </c>
      <c r="O64" s="44" t="n">
        <v>28.5187</v>
      </c>
      <c r="P64" s="47" t="n">
        <f aca="false">G64-N64</f>
        <v>4.14899528652578</v>
      </c>
      <c r="Q64" s="47" t="n">
        <f aca="false">H64-O64</f>
        <v>-7.21531971347422</v>
      </c>
      <c r="R64" s="47" t="n">
        <f aca="false">J64-N64</f>
        <v>5.045615</v>
      </c>
      <c r="S64" s="47" t="n">
        <f aca="false">K64-O64</f>
        <v>-4.5187</v>
      </c>
      <c r="U64" s="44" t="n">
        <v>6</v>
      </c>
      <c r="V64" s="44" t="n">
        <v>3</v>
      </c>
    </row>
    <row r="65" customFormat="false" ht="13.8" hidden="false" customHeight="false" outlineLevel="0" collapsed="false">
      <c r="A65" s="44" t="n">
        <v>6</v>
      </c>
      <c r="B65" s="44" t="n">
        <v>4</v>
      </c>
      <c r="C65" s="47" t="n">
        <f aca="false">((A65-1)*9+(B65))/108</f>
        <v>0.453703703703704</v>
      </c>
      <c r="D65" s="47" t="n">
        <f aca="false">MIN(ABS(C65*12-0.5),12-ABS(C65*12-0.5))/6</f>
        <v>0.824074074074074</v>
      </c>
      <c r="E65" s="47" t="n">
        <f aca="false">6*D65^5-15*D65^4+10*D65^3</f>
        <v>0.958908405581214</v>
      </c>
      <c r="F65" s="47" t="n">
        <f aca="false">E65*F$3</f>
        <v>31.1645231813895</v>
      </c>
      <c r="G65" s="47" t="n">
        <f aca="false">$F$4+F65+(-0.5*$F$10)</f>
        <v>14.1145231813895</v>
      </c>
      <c r="H65" s="47" t="n">
        <f aca="false">$F$4+F65+(0.5*$F$10)</f>
        <v>21.7145231813895</v>
      </c>
      <c r="J65" s="44" t="n">
        <v>15.8</v>
      </c>
      <c r="K65" s="44" t="n">
        <v>23.3</v>
      </c>
      <c r="L65" s="44" t="n">
        <f aca="false">G65-J65</f>
        <v>-1.68547681861055</v>
      </c>
      <c r="M65" s="44" t="n">
        <f aca="false">H65-K65</f>
        <v>-1.58547681861054</v>
      </c>
      <c r="N65" s="44" t="n">
        <v>11.088838</v>
      </c>
      <c r="O65" s="44" t="n">
        <v>29.133307</v>
      </c>
      <c r="P65" s="47" t="n">
        <f aca="false">G65-N65</f>
        <v>3.02568518138945</v>
      </c>
      <c r="Q65" s="47" t="n">
        <f aca="false">H65-O65</f>
        <v>-7.41878381861054</v>
      </c>
      <c r="R65" s="47" t="n">
        <f aca="false">J65-N65</f>
        <v>4.711162</v>
      </c>
      <c r="S65" s="47" t="n">
        <f aca="false">K65-O65</f>
        <v>-5.833307</v>
      </c>
      <c r="U65" s="44" t="n">
        <v>6</v>
      </c>
      <c r="V65" s="44" t="n">
        <v>4</v>
      </c>
    </row>
    <row r="66" customFormat="false" ht="13.8" hidden="false" customHeight="false" outlineLevel="0" collapsed="false">
      <c r="A66" s="44" t="n">
        <v>6</v>
      </c>
      <c r="B66" s="44" t="n">
        <v>5</v>
      </c>
      <c r="C66" s="47" t="n">
        <f aca="false">((A66-1)*9+(B66))/108</f>
        <v>0.462962962962963</v>
      </c>
      <c r="D66" s="47" t="n">
        <f aca="false">MIN(ABS(C66*12-0.5),12-ABS(C66*12-0.5))/6</f>
        <v>0.842592592592593</v>
      </c>
      <c r="E66" s="47" t="n">
        <f aca="false">6*D66^5-15*D66^4+10*D66^3</f>
        <v>0.969627787759156</v>
      </c>
      <c r="F66" s="47" t="n">
        <f aca="false">E66*F$3</f>
        <v>31.5129031021726</v>
      </c>
      <c r="G66" s="47" t="n">
        <f aca="false">$F$4+F66+(-0.5*$F$10)</f>
        <v>14.4629031021726</v>
      </c>
      <c r="H66" s="47" t="n">
        <f aca="false">$F$4+F66+(0.5*$F$10)</f>
        <v>22.0629031021726</v>
      </c>
      <c r="J66" s="44" t="n">
        <v>15.8</v>
      </c>
      <c r="K66" s="44" t="n">
        <v>24.5</v>
      </c>
      <c r="L66" s="44" t="n">
        <f aca="false">G66-J66</f>
        <v>-1.33709689782743</v>
      </c>
      <c r="M66" s="44" t="n">
        <f aca="false">H66-K66</f>
        <v>-2.43709689782743</v>
      </c>
      <c r="N66" s="44" t="n">
        <v>11.254471</v>
      </c>
      <c r="O66" s="44" t="n">
        <v>28.710564</v>
      </c>
      <c r="P66" s="47" t="n">
        <f aca="false">G66-N66</f>
        <v>3.20843210217257</v>
      </c>
      <c r="Q66" s="47" t="n">
        <f aca="false">H66-O66</f>
        <v>-6.64766089782743</v>
      </c>
      <c r="R66" s="47" t="n">
        <f aca="false">J66-N66</f>
        <v>4.545529</v>
      </c>
      <c r="S66" s="47" t="n">
        <f aca="false">K66-O66</f>
        <v>-4.210564</v>
      </c>
      <c r="U66" s="44" t="n">
        <v>6</v>
      </c>
      <c r="V66" s="44" t="n">
        <v>5</v>
      </c>
    </row>
    <row r="67" customFormat="false" ht="13.8" hidden="false" customHeight="false" outlineLevel="0" collapsed="false">
      <c r="A67" s="44" t="n">
        <v>6</v>
      </c>
      <c r="B67" s="44" t="n">
        <v>6</v>
      </c>
      <c r="C67" s="47" t="n">
        <f aca="false">((A67-1)*9+(B67))/108</f>
        <v>0.472222222222222</v>
      </c>
      <c r="D67" s="47" t="n">
        <f aca="false">MIN(ABS(C67*12-0.5),12-ABS(C67*12-0.5))/6</f>
        <v>0.861111111111111</v>
      </c>
      <c r="E67" s="47" t="n">
        <f aca="false">6*D67^5-15*D67^4+10*D67^3</f>
        <v>0.978479704091094</v>
      </c>
      <c r="F67" s="47" t="n">
        <f aca="false">E67*F$3</f>
        <v>31.8005903829606</v>
      </c>
      <c r="G67" s="47" t="n">
        <f aca="false">$F$4+F67+(-0.5*$F$10)</f>
        <v>14.7505903829606</v>
      </c>
      <c r="H67" s="47" t="n">
        <f aca="false">$F$4+F67+(0.5*$F$10)</f>
        <v>22.3505903829606</v>
      </c>
      <c r="J67" s="44" t="n">
        <v>15.1</v>
      </c>
      <c r="K67" s="44" t="n">
        <v>25.5</v>
      </c>
      <c r="L67" s="44" t="n">
        <f aca="false">G67-J67</f>
        <v>-0.349409617039447</v>
      </c>
      <c r="M67" s="44" t="n">
        <f aca="false">H67-K67</f>
        <v>-3.14940961703945</v>
      </c>
      <c r="N67" s="44" t="n">
        <v>11.311537</v>
      </c>
      <c r="O67" s="44" t="n">
        <v>29.526579</v>
      </c>
      <c r="P67" s="47" t="n">
        <f aca="false">G67-N67</f>
        <v>3.43905338296055</v>
      </c>
      <c r="Q67" s="47" t="n">
        <f aca="false">H67-O67</f>
        <v>-7.17598861703945</v>
      </c>
      <c r="R67" s="47" t="n">
        <f aca="false">J67-N67</f>
        <v>3.788463</v>
      </c>
      <c r="S67" s="47" t="n">
        <f aca="false">K67-O67</f>
        <v>-4.026579</v>
      </c>
      <c r="U67" s="44" t="n">
        <v>6</v>
      </c>
      <c r="V67" s="44" t="n">
        <v>6</v>
      </c>
    </row>
    <row r="68" customFormat="false" ht="13.8" hidden="false" customHeight="false" outlineLevel="0" collapsed="false">
      <c r="A68" s="44" t="n">
        <v>6</v>
      </c>
      <c r="B68" s="44" t="n">
        <v>7</v>
      </c>
      <c r="C68" s="47" t="n">
        <f aca="false">((A68-1)*9+(B68))/108</f>
        <v>0.481481481481481</v>
      </c>
      <c r="D68" s="47" t="n">
        <f aca="false">MIN(ABS(C68*12-0.5),12-ABS(C68*12-0.5))/6</f>
        <v>0.87962962962963</v>
      </c>
      <c r="E68" s="47" t="n">
        <f aca="false">6*D68^5-15*D68^4+10*D68^3</f>
        <v>0.985556866342459</v>
      </c>
      <c r="F68" s="47" t="n">
        <f aca="false">E68*F$3</f>
        <v>32.0305981561299</v>
      </c>
      <c r="G68" s="47" t="n">
        <f aca="false">$F$4+F68+(-0.5*$F$10)</f>
        <v>14.9805981561299</v>
      </c>
      <c r="H68" s="47" t="n">
        <f aca="false">$F$4+F68+(0.5*$F$10)</f>
        <v>22.5805981561299</v>
      </c>
      <c r="J68" s="44" t="n">
        <v>15.8</v>
      </c>
      <c r="K68" s="44" t="n">
        <v>25</v>
      </c>
      <c r="L68" s="44" t="n">
        <f aca="false">G68-J68</f>
        <v>-0.819401843870082</v>
      </c>
      <c r="M68" s="44" t="n">
        <f aca="false">H68-K68</f>
        <v>-2.41940184387008</v>
      </c>
      <c r="N68" s="44" t="n">
        <v>11.7383995</v>
      </c>
      <c r="O68" s="44" t="n">
        <v>29.752785</v>
      </c>
      <c r="P68" s="47" t="n">
        <f aca="false">G68-N68</f>
        <v>3.24219865612992</v>
      </c>
      <c r="Q68" s="47" t="n">
        <f aca="false">H68-O68</f>
        <v>-7.17218684387008</v>
      </c>
      <c r="R68" s="47" t="n">
        <f aca="false">J68-N68</f>
        <v>4.0616005</v>
      </c>
      <c r="S68" s="47" t="n">
        <f aca="false">K68-O68</f>
        <v>-4.752785</v>
      </c>
      <c r="U68" s="44" t="n">
        <v>6</v>
      </c>
      <c r="V68" s="44" t="n">
        <v>7</v>
      </c>
    </row>
    <row r="69" customFormat="false" ht="13.8" hidden="false" customHeight="false" outlineLevel="0" collapsed="false">
      <c r="A69" s="44" t="n">
        <v>6</v>
      </c>
      <c r="B69" s="44" t="n">
        <v>8</v>
      </c>
      <c r="C69" s="47" t="n">
        <f aca="false">((A69-1)*9+(B69))/108</f>
        <v>0.490740740740741</v>
      </c>
      <c r="D69" s="47" t="n">
        <f aca="false">MIN(ABS(C69*12-0.5),12-ABS(C69*12-0.5))/6</f>
        <v>0.898148148148148</v>
      </c>
      <c r="E69" s="47" t="n">
        <f aca="false">6*D69^5-15*D69^4+10*D69^3</f>
        <v>0.990982563520562</v>
      </c>
      <c r="F69" s="47" t="n">
        <f aca="false">E69*F$3</f>
        <v>32.2069333144183</v>
      </c>
      <c r="G69" s="47" t="n">
        <f aca="false">$F$4+F69+(-0.5*$F$10)</f>
        <v>15.1569333144183</v>
      </c>
      <c r="H69" s="47" t="n">
        <f aca="false">$F$4+F69+(0.5*$F$10)</f>
        <v>22.7569333144183</v>
      </c>
      <c r="J69" s="44" t="n">
        <v>16.2</v>
      </c>
      <c r="K69" s="44" t="n">
        <v>24.4</v>
      </c>
      <c r="L69" s="44" t="n">
        <f aca="false">G69-J69</f>
        <v>-1.04306668558174</v>
      </c>
      <c r="M69" s="44" t="n">
        <f aca="false">H69-K69</f>
        <v>-1.64306668558173</v>
      </c>
      <c r="N69" s="44" t="n">
        <v>11.930826</v>
      </c>
      <c r="O69" s="44" t="n">
        <v>28.80908</v>
      </c>
      <c r="P69" s="47" t="n">
        <f aca="false">G69-N69</f>
        <v>3.22610731441826</v>
      </c>
      <c r="Q69" s="47" t="n">
        <f aca="false">H69-O69</f>
        <v>-6.05214668558174</v>
      </c>
      <c r="R69" s="47" t="n">
        <f aca="false">J69-N69</f>
        <v>4.269174</v>
      </c>
      <c r="S69" s="47" t="n">
        <f aca="false">K69-O69</f>
        <v>-4.40908</v>
      </c>
      <c r="U69" s="44" t="n">
        <v>6</v>
      </c>
      <c r="V69" s="44" t="n">
        <v>8</v>
      </c>
    </row>
    <row r="70" customFormat="false" ht="13.8" hidden="false" customHeight="false" outlineLevel="0" collapsed="false">
      <c r="A70" s="44" t="n">
        <v>6</v>
      </c>
      <c r="B70" s="44" t="n">
        <v>9</v>
      </c>
      <c r="C70" s="47" t="n">
        <f aca="false">((A70-1)*9+(B70))/108</f>
        <v>0.5</v>
      </c>
      <c r="D70" s="47" t="n">
        <f aca="false">MIN(ABS(C70*12-0.5),12-ABS(C70*12-0.5))/6</f>
        <v>0.916666666666667</v>
      </c>
      <c r="E70" s="47" t="n">
        <f aca="false">6*D70^5-15*D70^4+10*D70^3</f>
        <v>0.994912229938271</v>
      </c>
      <c r="F70" s="47" t="n">
        <f aca="false">E70*F$3</f>
        <v>32.3346474729938</v>
      </c>
      <c r="G70" s="47" t="n">
        <f aca="false">$F$4+F70+(-0.5*$F$10)</f>
        <v>15.2846474729938</v>
      </c>
      <c r="H70" s="47" t="n">
        <f aca="false">$F$4+F70+(0.5*$F$10)</f>
        <v>22.8846474729938</v>
      </c>
      <c r="J70" s="44" t="n">
        <v>16.6</v>
      </c>
      <c r="K70" s="44" t="n">
        <v>24.9</v>
      </c>
      <c r="L70" s="44" t="n">
        <f aca="false">G70-J70</f>
        <v>-1.31535252700619</v>
      </c>
      <c r="M70" s="44" t="n">
        <f aca="false">H70-K70</f>
        <v>-2.01535252700619</v>
      </c>
      <c r="N70" s="44" t="n">
        <v>10.618076</v>
      </c>
      <c r="O70" s="44" t="n">
        <v>29.152699</v>
      </c>
      <c r="P70" s="47" t="n">
        <f aca="false">G70-N70</f>
        <v>4.66657147299381</v>
      </c>
      <c r="Q70" s="47" t="n">
        <f aca="false">H70-O70</f>
        <v>-6.26805152700619</v>
      </c>
      <c r="R70" s="47" t="n">
        <f aca="false">J70-N70</f>
        <v>5.981924</v>
      </c>
      <c r="S70" s="47" t="n">
        <f aca="false">K70-O70</f>
        <v>-4.252699</v>
      </c>
      <c r="U70" s="44" t="n">
        <v>6</v>
      </c>
      <c r="V70" s="44" t="n">
        <v>9</v>
      </c>
    </row>
    <row r="71" customFormat="false" ht="13.8" hidden="false" customHeight="false" outlineLevel="0" collapsed="false">
      <c r="A71" s="44" t="n">
        <v>7</v>
      </c>
      <c r="B71" s="44" t="n">
        <v>1</v>
      </c>
      <c r="C71" s="47" t="n">
        <f aca="false">((A71-1)*9+(B71))/108</f>
        <v>0.509259259259259</v>
      </c>
      <c r="D71" s="47" t="n">
        <f aca="false">MIN(ABS(C71*12-0.5),12-ABS(C71*12-0.5))/6</f>
        <v>0.935185185185185</v>
      </c>
      <c r="E71" s="47" t="n">
        <f aca="false">6*D71^5-15*D71^4+10*D71^3</f>
        <v>0.99753501327771</v>
      </c>
      <c r="F71" s="47" t="n">
        <f aca="false">E71*F$3</f>
        <v>32.4198879315256</v>
      </c>
      <c r="G71" s="47" t="n">
        <f aca="false">$F$4+F71+(-0.5*$F$10)</f>
        <v>15.3698879315256</v>
      </c>
      <c r="H71" s="47" t="n">
        <f aca="false">$F$4+F71+(0.5*$F$10)</f>
        <v>22.9698879315256</v>
      </c>
      <c r="J71" s="44" t="n">
        <v>15.1</v>
      </c>
      <c r="K71" s="44" t="n">
        <v>24.9</v>
      </c>
      <c r="L71" s="44" t="n">
        <f aca="false">G71-J71</f>
        <v>0.269887931525572</v>
      </c>
      <c r="M71" s="44" t="n">
        <f aca="false">H71-K71</f>
        <v>-1.93011206847443</v>
      </c>
      <c r="N71" s="44" t="n">
        <v>11.354278</v>
      </c>
      <c r="O71" s="44" t="n">
        <v>29.551317</v>
      </c>
      <c r="P71" s="47" t="n">
        <f aca="false">G71-N71</f>
        <v>4.01560993152557</v>
      </c>
      <c r="Q71" s="47" t="n">
        <f aca="false">H71-O71</f>
        <v>-6.58142906847443</v>
      </c>
      <c r="R71" s="47" t="n">
        <f aca="false">J71-N71</f>
        <v>3.745722</v>
      </c>
      <c r="S71" s="47" t="n">
        <f aca="false">K71-O71</f>
        <v>-4.651317</v>
      </c>
      <c r="U71" s="44" t="n">
        <v>7</v>
      </c>
      <c r="V71" s="44" t="n">
        <v>1</v>
      </c>
    </row>
    <row r="72" customFormat="false" ht="13.8" hidden="false" customHeight="false" outlineLevel="0" collapsed="false">
      <c r="A72" s="44" t="n">
        <v>7</v>
      </c>
      <c r="B72" s="44" t="n">
        <v>2</v>
      </c>
      <c r="C72" s="47" t="n">
        <f aca="false">((A72-1)*9+(B72))/108</f>
        <v>0.518518518518518</v>
      </c>
      <c r="D72" s="47" t="n">
        <f aca="false">MIN(ABS(C72*12-0.5),12-ABS(C72*12-0.5))/6</f>
        <v>0.953703703703704</v>
      </c>
      <c r="E72" s="47" t="n">
        <f aca="false">6*D72^5-15*D72^4+10*D72^3</f>
        <v>0.999075342653931</v>
      </c>
      <c r="F72" s="47" t="n">
        <f aca="false">E72*F$3</f>
        <v>32.4699486362528</v>
      </c>
      <c r="G72" s="47" t="n">
        <f aca="false">$F$4+F72+(-0.5*$F$10)</f>
        <v>15.4199486362528</v>
      </c>
      <c r="H72" s="47" t="n">
        <f aca="false">$F$4+F72+(0.5*$F$10)</f>
        <v>23.0199486362528</v>
      </c>
      <c r="J72" s="44" t="n">
        <v>16.5</v>
      </c>
      <c r="K72" s="44" t="n">
        <v>25.7</v>
      </c>
      <c r="L72" s="44" t="n">
        <f aca="false">G72-J72</f>
        <v>-1.08005136374724</v>
      </c>
      <c r="M72" s="44" t="n">
        <f aca="false">H72-K72</f>
        <v>-2.68005136374724</v>
      </c>
      <c r="N72" s="44" t="n">
        <v>12.346846</v>
      </c>
      <c r="O72" s="44" t="n">
        <v>30.175877</v>
      </c>
      <c r="P72" s="47" t="n">
        <f aca="false">G72-N72</f>
        <v>3.07310263625276</v>
      </c>
      <c r="Q72" s="47" t="n">
        <f aca="false">H72-O72</f>
        <v>-7.15592836374724</v>
      </c>
      <c r="R72" s="47" t="n">
        <f aca="false">J72-N72</f>
        <v>4.153154</v>
      </c>
      <c r="S72" s="47" t="n">
        <f aca="false">K72-O72</f>
        <v>-4.475877</v>
      </c>
      <c r="U72" s="44" t="n">
        <v>7</v>
      </c>
      <c r="V72" s="44" t="n">
        <v>2</v>
      </c>
    </row>
    <row r="73" customFormat="false" ht="13.8" hidden="false" customHeight="false" outlineLevel="0" collapsed="false">
      <c r="A73" s="44" t="n">
        <v>7</v>
      </c>
      <c r="B73" s="44" t="n">
        <v>3</v>
      </c>
      <c r="C73" s="47" t="n">
        <f aca="false">((A73-1)*9+(B73))/108</f>
        <v>0.527777777777778</v>
      </c>
      <c r="D73" s="47" t="n">
        <f aca="false">MIN(ABS(C73*12-0.5),12-ABS(C73*12-0.5))/6</f>
        <v>0.972222222222222</v>
      </c>
      <c r="E73" s="47" t="n">
        <f aca="false">6*D73^5-15*D73^4+10*D73^3</f>
        <v>0.999794496678605</v>
      </c>
      <c r="F73" s="47" t="n">
        <f aca="false">E73*F$3</f>
        <v>32.4933211420547</v>
      </c>
      <c r="G73" s="47" t="n">
        <f aca="false">$F$4+F73+(-0.5*$F$10)</f>
        <v>15.4433211420547</v>
      </c>
      <c r="H73" s="47" t="n">
        <f aca="false">$F$4+F73+(0.5*$F$10)</f>
        <v>23.0433211420547</v>
      </c>
      <c r="J73" s="44" t="n">
        <v>16.6</v>
      </c>
      <c r="K73" s="44" t="n">
        <v>26.7</v>
      </c>
      <c r="L73" s="44" t="n">
        <f aca="false">G73-J73</f>
        <v>-1.15667885794534</v>
      </c>
      <c r="M73" s="44" t="n">
        <f aca="false">H73-K73</f>
        <v>-3.65667885794534</v>
      </c>
      <c r="N73" s="44" t="n">
        <v>11.126062</v>
      </c>
      <c r="O73" s="44" t="n">
        <v>30.423996</v>
      </c>
      <c r="P73" s="47" t="n">
        <f aca="false">G73-N73</f>
        <v>4.31725914205466</v>
      </c>
      <c r="Q73" s="47" t="n">
        <f aca="false">H73-O73</f>
        <v>-7.38067485794534</v>
      </c>
      <c r="R73" s="47" t="n">
        <f aca="false">J73-N73</f>
        <v>5.473938</v>
      </c>
      <c r="S73" s="47" t="n">
        <f aca="false">K73-O73</f>
        <v>-3.723996</v>
      </c>
      <c r="U73" s="44" t="n">
        <v>7</v>
      </c>
      <c r="V73" s="44" t="n">
        <v>3</v>
      </c>
    </row>
    <row r="74" customFormat="false" ht="13.8" hidden="false" customHeight="false" outlineLevel="0" collapsed="false">
      <c r="A74" s="44" t="n">
        <v>7</v>
      </c>
      <c r="B74" s="44" t="n">
        <v>4</v>
      </c>
      <c r="C74" s="47" t="n">
        <f aca="false">((A74-1)*9+(B74))/108</f>
        <v>0.537037037037037</v>
      </c>
      <c r="D74" s="47" t="n">
        <f aca="false">MIN(ABS(C74*12-0.5),12-ABS(C74*12-0.5))/6</f>
        <v>0.990740740740741</v>
      </c>
      <c r="E74" s="47" t="n">
        <f aca="false">6*D74^5-15*D74^4+10*D74^3</f>
        <v>0.999992171523719</v>
      </c>
      <c r="F74" s="47" t="n">
        <f aca="false">E74*F$3</f>
        <v>32.4997455745209</v>
      </c>
      <c r="G74" s="47" t="n">
        <f aca="false">$F$4+F74+(-0.5*$F$10)</f>
        <v>15.4497455745209</v>
      </c>
      <c r="H74" s="47" t="n">
        <f aca="false">$F$4+F74+(0.5*$F$10)</f>
        <v>23.0497455745209</v>
      </c>
      <c r="J74" s="44" t="n">
        <v>16.5</v>
      </c>
      <c r="K74" s="44" t="n">
        <v>24.7</v>
      </c>
      <c r="L74" s="44" t="n">
        <f aca="false">G74-J74</f>
        <v>-1.05025442547914</v>
      </c>
      <c r="M74" s="44" t="n">
        <f aca="false">H74-K74</f>
        <v>-1.65025442547913</v>
      </c>
      <c r="N74" s="44" t="n">
        <v>12.764766</v>
      </c>
      <c r="O74" s="44" t="n">
        <v>29.917013</v>
      </c>
      <c r="P74" s="47" t="n">
        <f aca="false">G74-N74</f>
        <v>2.68497957452087</v>
      </c>
      <c r="Q74" s="47" t="n">
        <f aca="false">H74-O74</f>
        <v>-6.86726742547914</v>
      </c>
      <c r="R74" s="47" t="n">
        <f aca="false">J74-N74</f>
        <v>3.735234</v>
      </c>
      <c r="S74" s="47" t="n">
        <f aca="false">K74-O74</f>
        <v>-5.217013</v>
      </c>
      <c r="U74" s="44" t="n">
        <v>7</v>
      </c>
      <c r="V74" s="44" t="n">
        <v>4</v>
      </c>
    </row>
    <row r="75" customFormat="false" ht="13.8" hidden="false" customHeight="false" outlineLevel="0" collapsed="false">
      <c r="A75" s="44" t="n">
        <v>7</v>
      </c>
      <c r="B75" s="44" t="n">
        <v>5</v>
      </c>
      <c r="C75" s="47" t="n">
        <f aca="false">((A75-1)*9+(B75))/108</f>
        <v>0.546296296296296</v>
      </c>
      <c r="D75" s="47" t="n">
        <f aca="false">MIN(ABS(C75*12-0.5),12-ABS(C75*12-0.5))/6</f>
        <v>0.990740740740741</v>
      </c>
      <c r="E75" s="47" t="n">
        <f aca="false">6*D75^5-15*D75^4+10*D75^3</f>
        <v>0.999992171523719</v>
      </c>
      <c r="F75" s="47" t="n">
        <f aca="false">E75*F$3</f>
        <v>32.4997455745209</v>
      </c>
      <c r="G75" s="47" t="n">
        <f aca="false">$F$4+F75+(-0.5*$F$10)</f>
        <v>15.4497455745209</v>
      </c>
      <c r="H75" s="47" t="n">
        <f aca="false">$F$4+F75+(0.5*$F$10)</f>
        <v>23.0497455745209</v>
      </c>
      <c r="J75" s="44" t="n">
        <v>16.4</v>
      </c>
      <c r="K75" s="44" t="n">
        <v>25.5</v>
      </c>
      <c r="L75" s="44" t="n">
        <f aca="false">G75-J75</f>
        <v>-0.950254425479134</v>
      </c>
      <c r="M75" s="44" t="n">
        <f aca="false">H75-K75</f>
        <v>-2.45025442547913</v>
      </c>
      <c r="N75" s="44" t="n">
        <v>12.644206</v>
      </c>
      <c r="O75" s="44" t="n">
        <v>29.497166</v>
      </c>
      <c r="P75" s="47" t="n">
        <f aca="false">G75-N75</f>
        <v>2.80553957452086</v>
      </c>
      <c r="Q75" s="47" t="n">
        <f aca="false">H75-O75</f>
        <v>-6.44742042547913</v>
      </c>
      <c r="R75" s="47" t="n">
        <f aca="false">J75-N75</f>
        <v>3.755794</v>
      </c>
      <c r="S75" s="47" t="n">
        <f aca="false">K75-O75</f>
        <v>-3.997166</v>
      </c>
      <c r="U75" s="44" t="n">
        <v>7</v>
      </c>
      <c r="V75" s="44" t="n">
        <v>5</v>
      </c>
    </row>
    <row r="76" customFormat="false" ht="13.8" hidden="false" customHeight="false" outlineLevel="0" collapsed="false">
      <c r="A76" s="44" t="n">
        <v>7</v>
      </c>
      <c r="B76" s="44" t="n">
        <v>6</v>
      </c>
      <c r="C76" s="47" t="n">
        <f aca="false">((A76-1)*9+(B76))/108</f>
        <v>0.555555555555556</v>
      </c>
      <c r="D76" s="47" t="n">
        <f aca="false">MIN(ABS(C76*12-0.5),12-ABS(C76*12-0.5))/6</f>
        <v>0.972222222222222</v>
      </c>
      <c r="E76" s="47" t="n">
        <f aca="false">6*D76^5-15*D76^4+10*D76^3</f>
        <v>0.999794496678607</v>
      </c>
      <c r="F76" s="47" t="n">
        <f aca="false">E76*F$3</f>
        <v>32.4933211420547</v>
      </c>
      <c r="G76" s="47" t="n">
        <f aca="false">$F$4+F76+(-0.5*$F$10)</f>
        <v>15.4433211420547</v>
      </c>
      <c r="H76" s="47" t="n">
        <f aca="false">$F$4+F76+(0.5*$F$10)</f>
        <v>23.0433211420547</v>
      </c>
      <c r="J76" s="44" t="n">
        <v>16.4</v>
      </c>
      <c r="K76" s="44" t="n">
        <v>25.4</v>
      </c>
      <c r="L76" s="44" t="n">
        <f aca="false">G76-J76</f>
        <v>-0.956678857945274</v>
      </c>
      <c r="M76" s="44" t="n">
        <f aca="false">H76-K76</f>
        <v>-2.35667885794527</v>
      </c>
      <c r="N76" s="44" t="n">
        <v>12.507374</v>
      </c>
      <c r="O76" s="44" t="n">
        <v>30.63335</v>
      </c>
      <c r="P76" s="47" t="n">
        <f aca="false">G76-N76</f>
        <v>2.93594714205472</v>
      </c>
      <c r="Q76" s="47" t="n">
        <f aca="false">H76-O76</f>
        <v>-7.59002885794527</v>
      </c>
      <c r="R76" s="47" t="n">
        <f aca="false">J76-N76</f>
        <v>3.892626</v>
      </c>
      <c r="S76" s="47" t="n">
        <f aca="false">K76-O76</f>
        <v>-5.23335</v>
      </c>
      <c r="U76" s="44" t="n">
        <v>7</v>
      </c>
      <c r="V76" s="44" t="n">
        <v>6</v>
      </c>
    </row>
    <row r="77" customFormat="false" ht="13.8" hidden="false" customHeight="false" outlineLevel="0" collapsed="false">
      <c r="A77" s="44" t="n">
        <v>7</v>
      </c>
      <c r="B77" s="44" t="n">
        <v>7</v>
      </c>
      <c r="C77" s="47" t="n">
        <f aca="false">((A77-1)*9+(B77))/108</f>
        <v>0.564814814814815</v>
      </c>
      <c r="D77" s="47" t="n">
        <f aca="false">MIN(ABS(C77*12-0.5),12-ABS(C77*12-0.5))/6</f>
        <v>0.953703703703704</v>
      </c>
      <c r="E77" s="47" t="n">
        <f aca="false">6*D77^5-15*D77^4+10*D77^3</f>
        <v>0.99907534265393</v>
      </c>
      <c r="F77" s="47" t="n">
        <f aca="false">E77*F$3</f>
        <v>32.4699486362527</v>
      </c>
      <c r="G77" s="47" t="n">
        <f aca="false">$F$4+F77+(-0.5*$F$10)</f>
        <v>15.4199486362527</v>
      </c>
      <c r="H77" s="47" t="n">
        <f aca="false">$F$4+F77+(0.5*$F$10)</f>
        <v>23.0199486362527</v>
      </c>
      <c r="J77" s="44" t="n">
        <v>15.7</v>
      </c>
      <c r="K77" s="44" t="n">
        <v>24.9</v>
      </c>
      <c r="L77" s="44" t="n">
        <f aca="false">G77-J77</f>
        <v>-0.280051363747276</v>
      </c>
      <c r="M77" s="44" t="n">
        <f aca="false">H77-K77</f>
        <v>-1.88005136374727</v>
      </c>
      <c r="N77" s="44" t="n">
        <v>11.21963</v>
      </c>
      <c r="O77" s="44" t="n">
        <v>29.816645</v>
      </c>
      <c r="P77" s="47" t="n">
        <f aca="false">G77-N77</f>
        <v>4.20031863625272</v>
      </c>
      <c r="Q77" s="47" t="n">
        <f aca="false">H77-O77</f>
        <v>-6.79669636374728</v>
      </c>
      <c r="R77" s="47" t="n">
        <f aca="false">J77-N77</f>
        <v>4.48037</v>
      </c>
      <c r="S77" s="47" t="n">
        <f aca="false">K77-O77</f>
        <v>-4.916645</v>
      </c>
      <c r="U77" s="44" t="n">
        <v>7</v>
      </c>
      <c r="V77" s="44" t="n">
        <v>7</v>
      </c>
    </row>
    <row r="78" customFormat="false" ht="13.8" hidden="false" customHeight="false" outlineLevel="0" collapsed="false">
      <c r="A78" s="44" t="n">
        <v>7</v>
      </c>
      <c r="B78" s="44" t="n">
        <v>8</v>
      </c>
      <c r="C78" s="47" t="n">
        <f aca="false">((A78-1)*9+(B78))/108</f>
        <v>0.574074074074074</v>
      </c>
      <c r="D78" s="47" t="n">
        <f aca="false">MIN(ABS(C78*12-0.5),12-ABS(C78*12-0.5))/6</f>
        <v>0.935185185185185</v>
      </c>
      <c r="E78" s="47" t="n">
        <f aca="false">6*D78^5-15*D78^4+10*D78^3</f>
        <v>0.997535013277709</v>
      </c>
      <c r="F78" s="47" t="n">
        <f aca="false">E78*F$3</f>
        <v>32.4198879315255</v>
      </c>
      <c r="G78" s="47" t="n">
        <f aca="false">$F$4+F78+(-0.5*$F$10)</f>
        <v>15.3698879315255</v>
      </c>
      <c r="H78" s="47" t="n">
        <f aca="false">$F$4+F78+(0.5*$F$10)</f>
        <v>22.9698879315255</v>
      </c>
      <c r="J78" s="44" t="n">
        <v>17.1</v>
      </c>
      <c r="K78" s="44" t="n">
        <v>25</v>
      </c>
      <c r="L78" s="44" t="n">
        <f aca="false">G78-J78</f>
        <v>-1.73011206847446</v>
      </c>
      <c r="M78" s="44" t="n">
        <f aca="false">H78-K78</f>
        <v>-2.03011206847446</v>
      </c>
      <c r="N78" s="44" t="n">
        <v>12.017705</v>
      </c>
      <c r="O78" s="44" t="n">
        <v>30.772173</v>
      </c>
      <c r="P78" s="47" t="n">
        <f aca="false">G78-N78</f>
        <v>3.35218293152554</v>
      </c>
      <c r="Q78" s="47" t="n">
        <f aca="false">H78-O78</f>
        <v>-7.80228506847445</v>
      </c>
      <c r="R78" s="47" t="n">
        <f aca="false">J78-N78</f>
        <v>5.082295</v>
      </c>
      <c r="S78" s="47" t="n">
        <f aca="false">K78-O78</f>
        <v>-5.772173</v>
      </c>
      <c r="U78" s="44" t="n">
        <v>7</v>
      </c>
      <c r="V78" s="44" t="n">
        <v>8</v>
      </c>
    </row>
    <row r="79" customFormat="false" ht="13.8" hidden="false" customHeight="false" outlineLevel="0" collapsed="false">
      <c r="A79" s="44" t="n">
        <v>7</v>
      </c>
      <c r="B79" s="44" t="n">
        <v>9</v>
      </c>
      <c r="C79" s="47" t="n">
        <f aca="false">((A79-1)*9+(B79))/108</f>
        <v>0.583333333333333</v>
      </c>
      <c r="D79" s="47" t="n">
        <f aca="false">MIN(ABS(C79*12-0.5),12-ABS(C79*12-0.5))/6</f>
        <v>0.916666666666667</v>
      </c>
      <c r="E79" s="47" t="n">
        <f aca="false">6*D79^5-15*D79^4+10*D79^3</f>
        <v>0.994912229938271</v>
      </c>
      <c r="F79" s="47" t="n">
        <f aca="false">E79*F$3</f>
        <v>32.3346474729938</v>
      </c>
      <c r="G79" s="47" t="n">
        <f aca="false">$F$4+F79+(-0.5*$F$10)</f>
        <v>15.2846474729938</v>
      </c>
      <c r="H79" s="47" t="n">
        <f aca="false">$F$4+F79+(0.5*$F$10)</f>
        <v>22.8846474729938</v>
      </c>
      <c r="J79" s="44" t="n">
        <v>16.3</v>
      </c>
      <c r="K79" s="44" t="n">
        <v>26.6</v>
      </c>
      <c r="L79" s="44" t="n">
        <f aca="false">G79-J79</f>
        <v>-1.01535252700619</v>
      </c>
      <c r="M79" s="44" t="n">
        <f aca="false">H79-K79</f>
        <v>-3.71535252700619</v>
      </c>
      <c r="N79" s="44" t="n">
        <v>12.326233</v>
      </c>
      <c r="O79" s="44" t="n">
        <v>30.943712</v>
      </c>
      <c r="P79" s="47" t="n">
        <f aca="false">G79-N79</f>
        <v>2.95841447299381</v>
      </c>
      <c r="Q79" s="47" t="n">
        <f aca="false">H79-O79</f>
        <v>-8.05906452700619</v>
      </c>
      <c r="R79" s="47" t="n">
        <f aca="false">J79-N79</f>
        <v>3.973767</v>
      </c>
      <c r="S79" s="47" t="n">
        <f aca="false">K79-O79</f>
        <v>-4.343712</v>
      </c>
      <c r="U79" s="44" t="n">
        <v>7</v>
      </c>
      <c r="V79" s="44" t="n">
        <v>9</v>
      </c>
    </row>
    <row r="80" customFormat="false" ht="13.8" hidden="false" customHeight="false" outlineLevel="0" collapsed="false">
      <c r="A80" s="44" t="n">
        <v>8</v>
      </c>
      <c r="B80" s="44" t="n">
        <v>1</v>
      </c>
      <c r="C80" s="47" t="n">
        <f aca="false">((A80-1)*9+(B80))/108</f>
        <v>0.592592592592593</v>
      </c>
      <c r="D80" s="47" t="n">
        <f aca="false">MIN(ABS(C80*12-0.5),12-ABS(C80*12-0.5))/6</f>
        <v>0.898148148148148</v>
      </c>
      <c r="E80" s="47" t="n">
        <f aca="false">6*D80^5-15*D80^4+10*D80^3</f>
        <v>0.990982563520562</v>
      </c>
      <c r="F80" s="47" t="n">
        <f aca="false">E80*F$3</f>
        <v>32.2069333144183</v>
      </c>
      <c r="G80" s="47" t="n">
        <f aca="false">$F$4+F80+(-0.5*$F$10)</f>
        <v>15.1569333144183</v>
      </c>
      <c r="H80" s="47" t="n">
        <f aca="false">$F$4+F80+(0.5*$F$10)</f>
        <v>22.7569333144183</v>
      </c>
      <c r="J80" s="44" t="n">
        <v>15.9</v>
      </c>
      <c r="K80" s="44" t="n">
        <v>23.9</v>
      </c>
      <c r="L80" s="44" t="n">
        <f aca="false">G80-J80</f>
        <v>-0.743066685581736</v>
      </c>
      <c r="M80" s="44" t="n">
        <f aca="false">H80-K80</f>
        <v>-1.14306668558173</v>
      </c>
      <c r="N80" s="44" t="n">
        <v>12.728101</v>
      </c>
      <c r="O80" s="44" t="n">
        <v>29.06123</v>
      </c>
      <c r="P80" s="47" t="n">
        <f aca="false">G80-N80</f>
        <v>2.42883231441826</v>
      </c>
      <c r="Q80" s="47" t="n">
        <f aca="false">H80-O80</f>
        <v>-6.30429668558173</v>
      </c>
      <c r="R80" s="47" t="n">
        <f aca="false">J80-N80</f>
        <v>3.171899</v>
      </c>
      <c r="S80" s="47" t="n">
        <f aca="false">K80-O80</f>
        <v>-5.16123</v>
      </c>
      <c r="U80" s="44" t="n">
        <v>8</v>
      </c>
      <c r="V80" s="44" t="n">
        <v>1</v>
      </c>
    </row>
    <row r="81" customFormat="false" ht="13.8" hidden="false" customHeight="false" outlineLevel="0" collapsed="false">
      <c r="A81" s="44" t="n">
        <v>8</v>
      </c>
      <c r="B81" s="44" t="n">
        <v>2</v>
      </c>
      <c r="C81" s="47" t="n">
        <f aca="false">((A81-1)*9+(B81))/108</f>
        <v>0.601851851851852</v>
      </c>
      <c r="D81" s="47" t="n">
        <f aca="false">MIN(ABS(C81*12-0.5),12-ABS(C81*12-0.5))/6</f>
        <v>0.87962962962963</v>
      </c>
      <c r="E81" s="47" t="n">
        <f aca="false">6*D81^5-15*D81^4+10*D81^3</f>
        <v>0.985556866342459</v>
      </c>
      <c r="F81" s="47" t="n">
        <f aca="false">E81*F$3</f>
        <v>32.0305981561299</v>
      </c>
      <c r="G81" s="47" t="n">
        <f aca="false">$F$4+F81+(-0.5*$F$10)</f>
        <v>14.9805981561299</v>
      </c>
      <c r="H81" s="47" t="n">
        <f aca="false">$F$4+F81+(0.5*$F$10)</f>
        <v>22.5805981561299</v>
      </c>
      <c r="J81" s="44" t="n">
        <v>16</v>
      </c>
      <c r="K81" s="44" t="n">
        <v>25</v>
      </c>
      <c r="L81" s="44" t="n">
        <f aca="false">G81-J81</f>
        <v>-1.01940184387008</v>
      </c>
      <c r="M81" s="44" t="n">
        <f aca="false">H81-K81</f>
        <v>-2.41940184387008</v>
      </c>
      <c r="N81" s="44" t="n">
        <v>12.486077</v>
      </c>
      <c r="O81" s="44" t="n">
        <v>28.634096</v>
      </c>
      <c r="P81" s="47" t="n">
        <f aca="false">G81-N81</f>
        <v>2.49452115612992</v>
      </c>
      <c r="Q81" s="47" t="n">
        <f aca="false">H81-O81</f>
        <v>-6.05349784387008</v>
      </c>
      <c r="R81" s="47" t="n">
        <f aca="false">J81-N81</f>
        <v>3.513923</v>
      </c>
      <c r="S81" s="47" t="n">
        <f aca="false">K81-O81</f>
        <v>-3.634096</v>
      </c>
      <c r="U81" s="44" t="n">
        <v>8</v>
      </c>
      <c r="V81" s="44" t="n">
        <v>2</v>
      </c>
    </row>
    <row r="82" customFormat="false" ht="13.8" hidden="false" customHeight="false" outlineLevel="0" collapsed="false">
      <c r="A82" s="44" t="n">
        <v>8</v>
      </c>
      <c r="B82" s="44" t="n">
        <v>3</v>
      </c>
      <c r="C82" s="47" t="n">
        <f aca="false">((A82-1)*9+(B82))/108</f>
        <v>0.611111111111111</v>
      </c>
      <c r="D82" s="47" t="n">
        <f aca="false">MIN(ABS(C82*12-0.5),12-ABS(C82*12-0.5))/6</f>
        <v>0.861111111111111</v>
      </c>
      <c r="E82" s="47" t="n">
        <f aca="false">6*D82^5-15*D82^4+10*D82^3</f>
        <v>0.978479704091094</v>
      </c>
      <c r="F82" s="47" t="n">
        <f aca="false">E82*F$3</f>
        <v>31.8005903829606</v>
      </c>
      <c r="G82" s="47" t="n">
        <f aca="false">$F$4+F82+(-0.5*$F$10)</f>
        <v>14.7505903829606</v>
      </c>
      <c r="H82" s="47" t="n">
        <f aca="false">$F$4+F82+(0.5*$F$10)</f>
        <v>22.3505903829606</v>
      </c>
      <c r="J82" s="44" t="n">
        <v>15.3</v>
      </c>
      <c r="K82" s="44" t="n">
        <v>23.8</v>
      </c>
      <c r="L82" s="44" t="n">
        <f aca="false">G82-J82</f>
        <v>-0.549409617039448</v>
      </c>
      <c r="M82" s="44" t="n">
        <f aca="false">H82-K82</f>
        <v>-1.44940961703945</v>
      </c>
      <c r="N82" s="44" t="n">
        <v>12.336352</v>
      </c>
      <c r="O82" s="44" t="n">
        <v>30.362698</v>
      </c>
      <c r="P82" s="47" t="n">
        <f aca="false">G82-N82</f>
        <v>2.41423838296055</v>
      </c>
      <c r="Q82" s="47" t="n">
        <f aca="false">H82-O82</f>
        <v>-8.01210761703945</v>
      </c>
      <c r="R82" s="47" t="n">
        <f aca="false">J82-N82</f>
        <v>2.963648</v>
      </c>
      <c r="S82" s="47" t="n">
        <f aca="false">K82-O82</f>
        <v>-6.562698</v>
      </c>
      <c r="U82" s="44" t="n">
        <v>8</v>
      </c>
      <c r="V82" s="44" t="n">
        <v>3</v>
      </c>
    </row>
    <row r="83" customFormat="false" ht="13.8" hidden="false" customHeight="false" outlineLevel="0" collapsed="false">
      <c r="A83" s="44" t="n">
        <v>8</v>
      </c>
      <c r="B83" s="44" t="n">
        <v>4</v>
      </c>
      <c r="C83" s="47" t="n">
        <f aca="false">((A83-1)*9+(B83))/108</f>
        <v>0.62037037037037</v>
      </c>
      <c r="D83" s="47" t="n">
        <f aca="false">MIN(ABS(C83*12-0.5),12-ABS(C83*12-0.5))/6</f>
        <v>0.842592592592593</v>
      </c>
      <c r="E83" s="47" t="n">
        <f aca="false">6*D83^5-15*D83^4+10*D83^3</f>
        <v>0.969627787759156</v>
      </c>
      <c r="F83" s="47" t="n">
        <f aca="false">E83*F$3</f>
        <v>31.5129031021726</v>
      </c>
      <c r="G83" s="47" t="n">
        <f aca="false">$F$4+F83+(-0.5*$F$10)</f>
        <v>14.4629031021726</v>
      </c>
      <c r="H83" s="47" t="n">
        <f aca="false">$F$4+F83+(0.5*$F$10)</f>
        <v>22.0629031021726</v>
      </c>
      <c r="J83" s="44" t="n">
        <v>15.9</v>
      </c>
      <c r="K83" s="44" t="n">
        <v>24.9</v>
      </c>
      <c r="L83" s="44" t="n">
        <f aca="false">G83-J83</f>
        <v>-1.43709689782743</v>
      </c>
      <c r="M83" s="44" t="n">
        <f aca="false">H83-K83</f>
        <v>-2.83709689782743</v>
      </c>
      <c r="N83" s="44" t="n">
        <v>11.596981</v>
      </c>
      <c r="O83" s="44" t="n">
        <v>27.927063</v>
      </c>
      <c r="P83" s="47" t="n">
        <f aca="false">G83-N83</f>
        <v>2.86592210217257</v>
      </c>
      <c r="Q83" s="47" t="n">
        <f aca="false">H83-O83</f>
        <v>-5.86415989782743</v>
      </c>
      <c r="R83" s="47" t="n">
        <f aca="false">J83-N83</f>
        <v>4.303019</v>
      </c>
      <c r="S83" s="47" t="n">
        <f aca="false">K83-O83</f>
        <v>-3.027063</v>
      </c>
      <c r="U83" s="44" t="n">
        <v>8</v>
      </c>
      <c r="V83" s="44" t="n">
        <v>4</v>
      </c>
    </row>
    <row r="84" customFormat="false" ht="13.8" hidden="false" customHeight="false" outlineLevel="0" collapsed="false">
      <c r="A84" s="44" t="n">
        <v>8</v>
      </c>
      <c r="B84" s="44" t="n">
        <v>5</v>
      </c>
      <c r="C84" s="47" t="n">
        <f aca="false">((A84-1)*9+(B84))/108</f>
        <v>0.62962962962963</v>
      </c>
      <c r="D84" s="47" t="n">
        <f aca="false">MIN(ABS(C84*12-0.5),12-ABS(C84*12-0.5))/6</f>
        <v>0.824074074074074</v>
      </c>
      <c r="E84" s="47" t="n">
        <f aca="false">6*D84^5-15*D84^4+10*D84^3</f>
        <v>0.958908405581214</v>
      </c>
      <c r="F84" s="47" t="n">
        <f aca="false">E84*F$3</f>
        <v>31.1645231813895</v>
      </c>
      <c r="G84" s="47" t="n">
        <f aca="false">$F$4+F84+(-0.5*$F$10)</f>
        <v>14.1145231813895</v>
      </c>
      <c r="H84" s="47" t="n">
        <f aca="false">$F$4+F84+(0.5*$F$10)</f>
        <v>21.7145231813895</v>
      </c>
      <c r="J84" s="44" t="n">
        <v>15.4</v>
      </c>
      <c r="K84" s="44" t="n">
        <v>25.1</v>
      </c>
      <c r="L84" s="44" t="n">
        <f aca="false">G84-J84</f>
        <v>-1.28547681861055</v>
      </c>
      <c r="M84" s="44" t="n">
        <f aca="false">H84-K84</f>
        <v>-3.38547681861055</v>
      </c>
      <c r="N84" s="44" t="n">
        <v>10.490978</v>
      </c>
      <c r="O84" s="44" t="n">
        <v>28.238443</v>
      </c>
      <c r="P84" s="47" t="n">
        <f aca="false">G84-N84</f>
        <v>3.62354518138945</v>
      </c>
      <c r="Q84" s="47" t="n">
        <f aca="false">H84-O84</f>
        <v>-6.52391981861054</v>
      </c>
      <c r="R84" s="47" t="n">
        <f aca="false">J84-N84</f>
        <v>4.909022</v>
      </c>
      <c r="S84" s="47" t="n">
        <f aca="false">K84-O84</f>
        <v>-3.138443</v>
      </c>
      <c r="U84" s="44" t="n">
        <v>8</v>
      </c>
      <c r="V84" s="44" t="n">
        <v>5</v>
      </c>
    </row>
    <row r="85" customFormat="false" ht="13.8" hidden="false" customHeight="false" outlineLevel="0" collapsed="false">
      <c r="A85" s="44" t="n">
        <v>8</v>
      </c>
      <c r="B85" s="44" t="n">
        <v>6</v>
      </c>
      <c r="C85" s="47" t="n">
        <f aca="false">((A85-1)*9+(B85))/108</f>
        <v>0.638888888888889</v>
      </c>
      <c r="D85" s="47" t="n">
        <f aca="false">MIN(ABS(C85*12-0.5),12-ABS(C85*12-0.5))/6</f>
        <v>0.805555555555556</v>
      </c>
      <c r="E85" s="47" t="n">
        <f aca="false">6*D85^5-15*D85^4+10*D85^3</f>
        <v>0.946257854970025</v>
      </c>
      <c r="F85" s="47" t="n">
        <f aca="false">E85*F$3</f>
        <v>30.7533802865258</v>
      </c>
      <c r="G85" s="47" t="n">
        <f aca="false">$F$4+F85+(-0.5*$F$10)</f>
        <v>13.7033802865258</v>
      </c>
      <c r="H85" s="47" t="n">
        <f aca="false">$F$4+F85+(0.5*$F$10)</f>
        <v>21.3033802865258</v>
      </c>
      <c r="J85" s="44" t="n">
        <v>16.2</v>
      </c>
      <c r="K85" s="44" t="n">
        <v>23.3</v>
      </c>
      <c r="L85" s="44" t="n">
        <f aca="false">G85-J85</f>
        <v>-2.49661971347419</v>
      </c>
      <c r="M85" s="44" t="n">
        <f aca="false">H85-K85</f>
        <v>-1.99661971347419</v>
      </c>
      <c r="N85" s="44" t="n">
        <v>9.652688</v>
      </c>
      <c r="O85" s="44" t="n">
        <v>28.514826</v>
      </c>
      <c r="P85" s="47" t="n">
        <f aca="false">G85-N85</f>
        <v>4.05069228652581</v>
      </c>
      <c r="Q85" s="47" t="n">
        <f aca="false">H85-O85</f>
        <v>-7.21144571347418</v>
      </c>
      <c r="R85" s="47" t="n">
        <f aca="false">J85-N85</f>
        <v>6.547312</v>
      </c>
      <c r="S85" s="47" t="n">
        <f aca="false">K85-O85</f>
        <v>-5.214826</v>
      </c>
      <c r="U85" s="44" t="n">
        <v>8</v>
      </c>
      <c r="V85" s="44" t="n">
        <v>6</v>
      </c>
    </row>
    <row r="86" customFormat="false" ht="13.8" hidden="false" customHeight="false" outlineLevel="0" collapsed="false">
      <c r="A86" s="44" t="n">
        <v>8</v>
      </c>
      <c r="B86" s="44" t="n">
        <v>7</v>
      </c>
      <c r="C86" s="47" t="n">
        <f aca="false">((A86-1)*9+(B86))/108</f>
        <v>0.648148148148148</v>
      </c>
      <c r="D86" s="47" t="n">
        <f aca="false">MIN(ABS(C86*12-0.5),12-ABS(C86*12-0.5))/6</f>
        <v>0.787037037037037</v>
      </c>
      <c r="E86" s="47" t="n">
        <f aca="false">6*D86^5-15*D86^4+10*D86^3</f>
        <v>0.93163987445285</v>
      </c>
      <c r="F86" s="47" t="n">
        <f aca="false">E86*F$3</f>
        <v>30.2782959197176</v>
      </c>
      <c r="G86" s="47" t="n">
        <f aca="false">$F$4+F86+(-0.5*$F$10)</f>
        <v>13.2282959197176</v>
      </c>
      <c r="H86" s="47" t="n">
        <f aca="false">$F$4+F86+(0.5*$F$10)</f>
        <v>20.8282959197176</v>
      </c>
      <c r="J86" s="44" t="n">
        <v>14.8</v>
      </c>
      <c r="K86" s="44" t="n">
        <v>24.2</v>
      </c>
      <c r="L86" s="44" t="n">
        <f aca="false">G86-J86</f>
        <v>-1.57170408028238</v>
      </c>
      <c r="M86" s="44" t="n">
        <f aca="false">H86-K86</f>
        <v>-3.37170408028237</v>
      </c>
      <c r="N86" s="44" t="n">
        <v>10.634894</v>
      </c>
      <c r="O86" s="44" t="n">
        <v>28.122015</v>
      </c>
      <c r="P86" s="47" t="n">
        <f aca="false">G86-N86</f>
        <v>2.59340191971763</v>
      </c>
      <c r="Q86" s="47" t="n">
        <f aca="false">H86-O86</f>
        <v>-7.29371908028238</v>
      </c>
      <c r="R86" s="47" t="n">
        <f aca="false">J86-N86</f>
        <v>4.165106</v>
      </c>
      <c r="S86" s="47" t="n">
        <f aca="false">K86-O86</f>
        <v>-3.922015</v>
      </c>
      <c r="U86" s="44" t="n">
        <v>8</v>
      </c>
      <c r="V86" s="44" t="n">
        <v>7</v>
      </c>
    </row>
    <row r="87" customFormat="false" ht="13.8" hidden="false" customHeight="false" outlineLevel="0" collapsed="false">
      <c r="A87" s="44" t="n">
        <v>8</v>
      </c>
      <c r="B87" s="44" t="n">
        <v>8</v>
      </c>
      <c r="C87" s="47" t="n">
        <f aca="false">((A87-1)*9+(B87))/108</f>
        <v>0.657407407407407</v>
      </c>
      <c r="D87" s="47" t="n">
        <f aca="false">MIN(ABS(C87*12-0.5),12-ABS(C87*12-0.5))/6</f>
        <v>0.768518518518518</v>
      </c>
      <c r="E87" s="47" t="n">
        <f aca="false">6*D87^5-15*D87^4+10*D87^3</f>
        <v>0.915044075607771</v>
      </c>
      <c r="F87" s="47" t="n">
        <f aca="false">E87*F$3</f>
        <v>29.7389324572526</v>
      </c>
      <c r="G87" s="47" t="n">
        <f aca="false">$F$4+F87+(-0.5*$F$10)</f>
        <v>12.6889324572526</v>
      </c>
      <c r="H87" s="47" t="n">
        <f aca="false">$F$4+F87+(0.5*$F$10)</f>
        <v>20.2889324572526</v>
      </c>
      <c r="J87" s="44" t="n">
        <v>14.9</v>
      </c>
      <c r="K87" s="44" t="n">
        <v>22.3</v>
      </c>
      <c r="L87" s="44" t="n">
        <f aca="false">G87-J87</f>
        <v>-2.21106754274744</v>
      </c>
      <c r="M87" s="44" t="n">
        <f aca="false">H87-K87</f>
        <v>-2.01106754274744</v>
      </c>
      <c r="N87" s="44" t="n">
        <v>9.52021</v>
      </c>
      <c r="O87" s="44" t="n">
        <v>27.906343</v>
      </c>
      <c r="P87" s="47" t="n">
        <f aca="false">G87-N87</f>
        <v>3.16872245725256</v>
      </c>
      <c r="Q87" s="47" t="n">
        <f aca="false">H87-O87</f>
        <v>-7.61741054274744</v>
      </c>
      <c r="R87" s="47" t="n">
        <f aca="false">J87-N87</f>
        <v>5.37979</v>
      </c>
      <c r="S87" s="47" t="n">
        <f aca="false">K87-O87</f>
        <v>-5.606343</v>
      </c>
      <c r="U87" s="44" t="n">
        <v>8</v>
      </c>
      <c r="V87" s="44" t="n">
        <v>8</v>
      </c>
    </row>
    <row r="88" customFormat="false" ht="13.8" hidden="false" customHeight="false" outlineLevel="0" collapsed="false">
      <c r="A88" s="44" t="n">
        <v>8</v>
      </c>
      <c r="B88" s="44" t="n">
        <v>9</v>
      </c>
      <c r="C88" s="47" t="n">
        <f aca="false">((A88-1)*9+(B88))/108</f>
        <v>0.666666666666667</v>
      </c>
      <c r="D88" s="47" t="n">
        <f aca="false">MIN(ABS(C88*12-0.5),12-ABS(C88*12-0.5))/6</f>
        <v>0.75</v>
      </c>
      <c r="E88" s="47" t="n">
        <f aca="false">6*D88^5-15*D88^4+10*D88^3</f>
        <v>0.896484375</v>
      </c>
      <c r="F88" s="47" t="n">
        <f aca="false">E88*F$3</f>
        <v>29.1357421875</v>
      </c>
      <c r="G88" s="47" t="n">
        <f aca="false">$F$4+F88+(-0.5*$F$10)</f>
        <v>12.0857421875</v>
      </c>
      <c r="H88" s="47" t="n">
        <f aca="false">$F$4+F88+(0.5*$F$10)</f>
        <v>19.6857421875</v>
      </c>
      <c r="J88" s="44" t="n">
        <v>13.1</v>
      </c>
      <c r="K88" s="44" t="n">
        <v>22.3</v>
      </c>
      <c r="L88" s="44" t="n">
        <f aca="false">G88-J88</f>
        <v>-1.0142578125</v>
      </c>
      <c r="M88" s="44" t="n">
        <f aca="false">H88-K88</f>
        <v>-2.6142578125</v>
      </c>
      <c r="N88" s="44" t="n">
        <v>10.4936075</v>
      </c>
      <c r="O88" s="44" t="n">
        <v>27.552021</v>
      </c>
      <c r="P88" s="47" t="n">
        <f aca="false">G88-N88</f>
        <v>1.5921346875</v>
      </c>
      <c r="Q88" s="47" t="n">
        <f aca="false">H88-O88</f>
        <v>-7.8662788125</v>
      </c>
      <c r="R88" s="47" t="n">
        <f aca="false">J88-N88</f>
        <v>2.6063925</v>
      </c>
      <c r="S88" s="47" t="n">
        <f aca="false">K88-O88</f>
        <v>-5.252021</v>
      </c>
      <c r="U88" s="44" t="n">
        <v>8</v>
      </c>
      <c r="V88" s="44" t="n">
        <v>9</v>
      </c>
    </row>
    <row r="89" customFormat="false" ht="13.8" hidden="false" customHeight="false" outlineLevel="0" collapsed="false">
      <c r="A89" s="44" t="n">
        <v>9</v>
      </c>
      <c r="B89" s="44" t="n">
        <v>1</v>
      </c>
      <c r="C89" s="47" t="n">
        <f aca="false">((A89-1)*9+(B89))/108</f>
        <v>0.675925925925926</v>
      </c>
      <c r="D89" s="47" t="n">
        <f aca="false">MIN(ABS(C89*12-0.5),12-ABS(C89*12-0.5))/6</f>
        <v>0.731481481481482</v>
      </c>
      <c r="E89" s="47" t="n">
        <f aca="false">6*D89^5-15*D89^4+10*D89^3</f>
        <v>0.875997426118196</v>
      </c>
      <c r="F89" s="47" t="n">
        <f aca="false">E89*F$3</f>
        <v>28.4699163488414</v>
      </c>
      <c r="G89" s="47" t="n">
        <f aca="false">$F$4+F89+(-0.5*$F$10)</f>
        <v>11.4199163488414</v>
      </c>
      <c r="H89" s="47" t="n">
        <f aca="false">$F$4+F89+(0.5*$F$10)</f>
        <v>19.0199163488414</v>
      </c>
      <c r="J89" s="44" t="n">
        <v>13.3</v>
      </c>
      <c r="K89" s="44" t="n">
        <v>21.3</v>
      </c>
      <c r="L89" s="44" t="n">
        <f aca="false">G89-J89</f>
        <v>-1.88008365115863</v>
      </c>
      <c r="M89" s="44" t="n">
        <f aca="false">H89-K89</f>
        <v>-2.28008365115863</v>
      </c>
      <c r="N89" s="44" t="n">
        <v>9.436118</v>
      </c>
      <c r="O89" s="44" t="n">
        <v>26.531216</v>
      </c>
      <c r="P89" s="47" t="n">
        <f aca="false">G89-N89</f>
        <v>1.98379834884137</v>
      </c>
      <c r="Q89" s="47" t="n">
        <f aca="false">H89-O89</f>
        <v>-7.51129965115863</v>
      </c>
      <c r="R89" s="47" t="n">
        <f aca="false">J89-N89</f>
        <v>3.863882</v>
      </c>
      <c r="S89" s="47" t="n">
        <f aca="false">K89-O89</f>
        <v>-5.231216</v>
      </c>
      <c r="U89" s="44" t="n">
        <v>9</v>
      </c>
      <c r="V89" s="44" t="n">
        <v>1</v>
      </c>
    </row>
    <row r="90" customFormat="false" ht="13.8" hidden="false" customHeight="false" outlineLevel="0" collapsed="false">
      <c r="A90" s="44" t="n">
        <v>9</v>
      </c>
      <c r="B90" s="44" t="n">
        <v>2</v>
      </c>
      <c r="C90" s="47" t="n">
        <f aca="false">((A90-1)*9+(B90))/108</f>
        <v>0.685185185185185</v>
      </c>
      <c r="D90" s="47" t="n">
        <f aca="false">MIN(ABS(C90*12-0.5),12-ABS(C90*12-0.5))/6</f>
        <v>0.712962962962963</v>
      </c>
      <c r="E90" s="47" t="n">
        <f aca="false">6*D90^5-15*D90^4+10*D90^3</f>
        <v>0.85364105131078</v>
      </c>
      <c r="F90" s="47" t="n">
        <f aca="false">E90*F$3</f>
        <v>27.7433341676004</v>
      </c>
      <c r="G90" s="47" t="n">
        <f aca="false">$F$4+F90+(-0.5*$F$10)</f>
        <v>10.6933341676004</v>
      </c>
      <c r="H90" s="47" t="n">
        <f aca="false">$F$4+F90+(0.5*$F$10)</f>
        <v>18.2933341676004</v>
      </c>
      <c r="J90" s="44" t="n">
        <v>12</v>
      </c>
      <c r="K90" s="44" t="n">
        <v>20.9</v>
      </c>
      <c r="L90" s="44" t="n">
        <f aca="false">G90-J90</f>
        <v>-1.30666583239965</v>
      </c>
      <c r="M90" s="44" t="n">
        <f aca="false">H90-K90</f>
        <v>-2.60666583239965</v>
      </c>
      <c r="N90" s="44" t="n">
        <v>7.722513</v>
      </c>
      <c r="O90" s="44" t="n">
        <v>27.014025</v>
      </c>
      <c r="P90" s="47" t="n">
        <f aca="false">G90-N90</f>
        <v>2.97082116760035</v>
      </c>
      <c r="Q90" s="47" t="n">
        <f aca="false">H90-O90</f>
        <v>-8.72069083239965</v>
      </c>
      <c r="R90" s="47" t="n">
        <f aca="false">J90-N90</f>
        <v>4.277487</v>
      </c>
      <c r="S90" s="47" t="n">
        <f aca="false">K90-O90</f>
        <v>-6.114025</v>
      </c>
      <c r="U90" s="44" t="n">
        <v>9</v>
      </c>
      <c r="V90" s="44" t="n">
        <v>2</v>
      </c>
    </row>
    <row r="91" customFormat="false" ht="13.8" hidden="false" customHeight="false" outlineLevel="0" collapsed="false">
      <c r="A91" s="44" t="n">
        <v>9</v>
      </c>
      <c r="B91" s="44" t="n">
        <v>3</v>
      </c>
      <c r="C91" s="47" t="n">
        <f aca="false">((A91-1)*9+(B91))/108</f>
        <v>0.694444444444444</v>
      </c>
      <c r="D91" s="47" t="n">
        <f aca="false">MIN(ABS(C91*12-0.5),12-ABS(C91*12-0.5))/6</f>
        <v>0.694444444444445</v>
      </c>
      <c r="E91" s="47" t="n">
        <f aca="false">6*D91^5-15*D91^4+10*D91^3</f>
        <v>0.829492673722248</v>
      </c>
      <c r="F91" s="47" t="n">
        <f aca="false">E91*F$3</f>
        <v>26.9585118959731</v>
      </c>
      <c r="G91" s="47" t="n">
        <f aca="false">$F$4+F91+(-0.5*$F$10)</f>
        <v>9.90851189597306</v>
      </c>
      <c r="H91" s="47" t="n">
        <f aca="false">$F$4+F91+(0.5*$F$10)</f>
        <v>17.5085118959731</v>
      </c>
      <c r="J91" s="44" t="n">
        <v>11.3</v>
      </c>
      <c r="K91" s="44" t="n">
        <v>20.2</v>
      </c>
      <c r="L91" s="44" t="n">
        <f aca="false">G91-J91</f>
        <v>-1.39148810402694</v>
      </c>
      <c r="M91" s="44" t="n">
        <f aca="false">H91-K91</f>
        <v>-2.69148810402694</v>
      </c>
      <c r="N91" s="44" t="n">
        <v>8.4100685</v>
      </c>
      <c r="O91" s="44" t="n">
        <v>24.001503</v>
      </c>
      <c r="P91" s="47" t="n">
        <f aca="false">G91-N91</f>
        <v>1.49844339597306</v>
      </c>
      <c r="Q91" s="47" t="n">
        <f aca="false">H91-O91</f>
        <v>-6.49299110402694</v>
      </c>
      <c r="R91" s="47" t="n">
        <f aca="false">J91-N91</f>
        <v>2.8899315</v>
      </c>
      <c r="S91" s="47" t="n">
        <f aca="false">K91-O91</f>
        <v>-3.801503</v>
      </c>
      <c r="U91" s="44" t="n">
        <v>9</v>
      </c>
      <c r="V91" s="44" t="n">
        <v>3</v>
      </c>
    </row>
    <row r="92" customFormat="false" ht="13.8" hidden="false" customHeight="false" outlineLevel="0" collapsed="false">
      <c r="A92" s="44" t="n">
        <v>9</v>
      </c>
      <c r="B92" s="44" t="n">
        <v>4</v>
      </c>
      <c r="C92" s="47" t="n">
        <f aca="false">((A92-1)*9+(B92))/108</f>
        <v>0.703703703703704</v>
      </c>
      <c r="D92" s="47" t="n">
        <f aca="false">MIN(ABS(C92*12-0.5),12-ABS(C92*12-0.5))/6</f>
        <v>0.675925925925926</v>
      </c>
      <c r="E92" s="47" t="n">
        <f aca="false">6*D92^5-15*D92^4+10*D92^3</f>
        <v>0.80364774922948</v>
      </c>
      <c r="F92" s="47" t="n">
        <f aca="false">E92*F$3</f>
        <v>26.1185518499581</v>
      </c>
      <c r="G92" s="47" t="n">
        <f aca="false">$F$4+F92+(-0.5*$F$10)</f>
        <v>9.0685518499581</v>
      </c>
      <c r="H92" s="47" t="n">
        <f aca="false">$F$4+F92+(0.5*$F$10)</f>
        <v>16.6685518499581</v>
      </c>
      <c r="J92" s="44" t="n">
        <v>10.5</v>
      </c>
      <c r="K92" s="44" t="n">
        <v>19.3</v>
      </c>
      <c r="L92" s="44" t="n">
        <f aca="false">G92-J92</f>
        <v>-1.4314481500419</v>
      </c>
      <c r="M92" s="44" t="n">
        <f aca="false">H92-K92</f>
        <v>-2.6314481500419</v>
      </c>
      <c r="N92" s="44" t="n">
        <v>5.827394</v>
      </c>
      <c r="O92" s="44" t="n">
        <v>24.38113</v>
      </c>
      <c r="P92" s="47" t="n">
        <f aca="false">G92-N92</f>
        <v>3.2411578499581</v>
      </c>
      <c r="Q92" s="47" t="n">
        <f aca="false">H92-O92</f>
        <v>-7.7125781500419</v>
      </c>
      <c r="R92" s="47" t="n">
        <f aca="false">J92-N92</f>
        <v>4.672606</v>
      </c>
      <c r="S92" s="47" t="n">
        <f aca="false">K92-O92</f>
        <v>-5.08113</v>
      </c>
      <c r="U92" s="44" t="n">
        <v>9</v>
      </c>
      <c r="V92" s="44" t="n">
        <v>4</v>
      </c>
    </row>
    <row r="93" customFormat="false" ht="13.8" hidden="false" customHeight="false" outlineLevel="0" collapsed="false">
      <c r="A93" s="44" t="n">
        <v>9</v>
      </c>
      <c r="B93" s="44" t="n">
        <v>5</v>
      </c>
      <c r="C93" s="47" t="n">
        <f aca="false">((A93-1)*9+(B93))/108</f>
        <v>0.712962962962963</v>
      </c>
      <c r="D93" s="47" t="n">
        <f aca="false">MIN(ABS(C93*12-0.5),12-ABS(C93*12-0.5))/6</f>
        <v>0.657407407407407</v>
      </c>
      <c r="E93" s="47" t="n">
        <f aca="false">6*D93^5-15*D93^4+10*D93^3</f>
        <v>0.776218198378063</v>
      </c>
      <c r="F93" s="47" t="n">
        <f aca="false">E93*F$3</f>
        <v>25.227091447287</v>
      </c>
      <c r="G93" s="47" t="n">
        <f aca="false">$F$4+F93+(-0.5*$F$10)</f>
        <v>8.17709144728705</v>
      </c>
      <c r="H93" s="47" t="n">
        <f aca="false">$F$4+F93+(0.5*$F$10)</f>
        <v>15.777091447287</v>
      </c>
      <c r="J93" s="44" t="n">
        <v>10</v>
      </c>
      <c r="K93" s="44" t="n">
        <v>17.6</v>
      </c>
      <c r="L93" s="44" t="n">
        <f aca="false">G93-J93</f>
        <v>-1.82290855271295</v>
      </c>
      <c r="M93" s="44" t="n">
        <f aca="false">H93-K93</f>
        <v>-1.82290855271295</v>
      </c>
      <c r="N93" s="44" t="n">
        <v>6.2531333</v>
      </c>
      <c r="O93" s="44" t="n">
        <v>23.272532</v>
      </c>
      <c r="P93" s="47" t="n">
        <f aca="false">G93-N93</f>
        <v>1.92395814728705</v>
      </c>
      <c r="Q93" s="47" t="n">
        <f aca="false">H93-O93</f>
        <v>-7.49544055271295</v>
      </c>
      <c r="R93" s="47" t="n">
        <f aca="false">J93-N93</f>
        <v>3.7468667</v>
      </c>
      <c r="S93" s="47" t="n">
        <f aca="false">K93-O93</f>
        <v>-5.672532</v>
      </c>
      <c r="U93" s="44" t="n">
        <v>9</v>
      </c>
      <c r="V93" s="44" t="n">
        <v>5</v>
      </c>
    </row>
    <row r="94" customFormat="false" ht="13.8" hidden="false" customHeight="false" outlineLevel="0" collapsed="false">
      <c r="A94" s="44" t="n">
        <v>9</v>
      </c>
      <c r="B94" s="44" t="n">
        <v>6</v>
      </c>
      <c r="C94" s="47" t="n">
        <f aca="false">((A94-1)*9+(B94))/108</f>
        <v>0.722222222222222</v>
      </c>
      <c r="D94" s="47" t="n">
        <f aca="false">MIN(ABS(C94*12-0.5),12-ABS(C94*12-0.5))/6</f>
        <v>0.638888888888889</v>
      </c>
      <c r="E94" s="47" t="n">
        <f aca="false">6*D94^5-15*D94^4+10*D94^3</f>
        <v>0.7473308383186</v>
      </c>
      <c r="F94" s="47" t="n">
        <f aca="false">E94*F$3</f>
        <v>24.2882522453545</v>
      </c>
      <c r="G94" s="47" t="n">
        <f aca="false">$F$4+F94+(-0.5*$F$10)</f>
        <v>7.2382522453545</v>
      </c>
      <c r="H94" s="47" t="n">
        <f aca="false">$F$4+F94+(0.5*$F$10)</f>
        <v>14.8382522453545</v>
      </c>
      <c r="J94" s="44" t="n">
        <v>9.1</v>
      </c>
      <c r="K94" s="44" t="n">
        <v>17.7</v>
      </c>
      <c r="L94" s="44" t="n">
        <f aca="false">G94-J94</f>
        <v>-1.8617477546455</v>
      </c>
      <c r="M94" s="44" t="n">
        <f aca="false">H94-K94</f>
        <v>-2.8617477546455</v>
      </c>
      <c r="N94" s="44" t="n">
        <v>5.152953</v>
      </c>
      <c r="O94" s="44" t="n">
        <v>21.660526</v>
      </c>
      <c r="P94" s="47" t="n">
        <f aca="false">G94-N94</f>
        <v>2.0852992453545</v>
      </c>
      <c r="Q94" s="47" t="n">
        <f aca="false">H94-O94</f>
        <v>-6.8222737546455</v>
      </c>
      <c r="R94" s="47" t="n">
        <f aca="false">J94-N94</f>
        <v>3.947047</v>
      </c>
      <c r="S94" s="47" t="n">
        <f aca="false">K94-O94</f>
        <v>-3.960526</v>
      </c>
      <c r="U94" s="44" t="n">
        <v>9</v>
      </c>
      <c r="V94" s="44" t="n">
        <v>6</v>
      </c>
    </row>
    <row r="95" customFormat="false" ht="13.8" hidden="false" customHeight="false" outlineLevel="0" collapsed="false">
      <c r="A95" s="44" t="n">
        <v>9</v>
      </c>
      <c r="B95" s="44" t="n">
        <v>7</v>
      </c>
      <c r="C95" s="47" t="n">
        <f aca="false">((A95-1)*9+(B95))/108</f>
        <v>0.731481481481482</v>
      </c>
      <c r="D95" s="47" t="n">
        <f aca="false">MIN(ABS(C95*12-0.5),12-ABS(C95*12-0.5))/6</f>
        <v>0.62037037037037</v>
      </c>
      <c r="E95" s="47" t="n">
        <f aca="false">6*D95^5-15*D95^4+10*D95^3</f>
        <v>0.717125814743023</v>
      </c>
      <c r="F95" s="47" t="n">
        <f aca="false">E95*F$3</f>
        <v>23.3065889791482</v>
      </c>
      <c r="G95" s="47" t="n">
        <f aca="false">$F$4+F95+(-0.5*$F$10)</f>
        <v>6.25658897914825</v>
      </c>
      <c r="H95" s="47" t="n">
        <f aca="false">$F$4+F95+(0.5*$F$10)</f>
        <v>13.8565889791482</v>
      </c>
      <c r="J95" s="44" t="n">
        <v>7.6</v>
      </c>
      <c r="K95" s="44" t="n">
        <v>16</v>
      </c>
      <c r="L95" s="44" t="n">
        <f aca="false">G95-J95</f>
        <v>-1.34341102085175</v>
      </c>
      <c r="M95" s="44" t="n">
        <f aca="false">H95-K95</f>
        <v>-2.14341102085175</v>
      </c>
      <c r="N95" s="44" t="n">
        <v>4.661152</v>
      </c>
      <c r="O95" s="44" t="n">
        <v>21.624052</v>
      </c>
      <c r="P95" s="47" t="n">
        <f aca="false">G95-N95</f>
        <v>1.59543697914824</v>
      </c>
      <c r="Q95" s="47" t="n">
        <f aca="false">H95-O95</f>
        <v>-7.76746302085175</v>
      </c>
      <c r="R95" s="47" t="n">
        <f aca="false">J95-N95</f>
        <v>2.938848</v>
      </c>
      <c r="S95" s="47" t="n">
        <f aca="false">K95-O95</f>
        <v>-5.624052</v>
      </c>
      <c r="U95" s="44" t="n">
        <v>9</v>
      </c>
      <c r="V95" s="44" t="n">
        <v>7</v>
      </c>
    </row>
    <row r="96" customFormat="false" ht="13.8" hidden="false" customHeight="false" outlineLevel="0" collapsed="false">
      <c r="A96" s="44" t="n">
        <v>9</v>
      </c>
      <c r="B96" s="44" t="n">
        <v>8</v>
      </c>
      <c r="C96" s="47" t="n">
        <f aca="false">((A96-1)*9+(B96))/108</f>
        <v>0.740740740740741</v>
      </c>
      <c r="D96" s="47" t="n">
        <f aca="false">MIN(ABS(C96*12-0.5),12-ABS(C96*12-0.5))/6</f>
        <v>0.601851851851852</v>
      </c>
      <c r="E96" s="47" t="n">
        <f aca="false">6*D96^5-15*D96^4+10*D96^3</f>
        <v>0.685755033820912</v>
      </c>
      <c r="F96" s="47" t="n">
        <f aca="false">E96*F$3</f>
        <v>22.2870385991796</v>
      </c>
      <c r="G96" s="47" t="n">
        <f aca="false">$F$4+F96+(-0.5*$F$10)</f>
        <v>5.23703859917964</v>
      </c>
      <c r="H96" s="47" t="n">
        <f aca="false">$F$4+F96+(0.5*$F$10)</f>
        <v>12.8370385991796</v>
      </c>
      <c r="J96" s="44" t="n">
        <v>7.5</v>
      </c>
      <c r="K96" s="44" t="n">
        <v>15.2</v>
      </c>
      <c r="L96" s="44" t="n">
        <f aca="false">G96-J96</f>
        <v>-2.26296140082036</v>
      </c>
      <c r="M96" s="44" t="n">
        <f aca="false">H96-K96</f>
        <v>-2.36296140082036</v>
      </c>
      <c r="N96" s="44" t="n">
        <v>2.8975081</v>
      </c>
      <c r="O96" s="44" t="n">
        <v>20.947445</v>
      </c>
      <c r="P96" s="47" t="n">
        <f aca="false">G96-N96</f>
        <v>2.33953049917964</v>
      </c>
      <c r="Q96" s="47" t="n">
        <f aca="false">H96-O96</f>
        <v>-8.11040640082036</v>
      </c>
      <c r="R96" s="47" t="n">
        <f aca="false">J96-N96</f>
        <v>4.6024919</v>
      </c>
      <c r="S96" s="47" t="n">
        <f aca="false">K96-O96</f>
        <v>-5.747445</v>
      </c>
      <c r="U96" s="44" t="n">
        <v>9</v>
      </c>
      <c r="V96" s="44" t="n">
        <v>8</v>
      </c>
    </row>
    <row r="97" customFormat="false" ht="13.8" hidden="false" customHeight="false" outlineLevel="0" collapsed="false">
      <c r="A97" s="44" t="n">
        <v>9</v>
      </c>
      <c r="B97" s="44" t="n">
        <v>9</v>
      </c>
      <c r="C97" s="47" t="n">
        <f aca="false">((A97-1)*9+(B97))/108</f>
        <v>0.75</v>
      </c>
      <c r="D97" s="47" t="n">
        <f aca="false">MIN(ABS(C97*12-0.5),12-ABS(C97*12-0.5))/6</f>
        <v>0.583333333333333</v>
      </c>
      <c r="E97" s="47" t="n">
        <f aca="false">6*D97^5-15*D97^4+10*D97^3</f>
        <v>0.653380594135803</v>
      </c>
      <c r="F97" s="47" t="n">
        <f aca="false">E97*F$3</f>
        <v>21.2348693094136</v>
      </c>
      <c r="G97" s="47" t="n">
        <f aca="false">$F$4+F97+(-0.5*$F$10)</f>
        <v>4.1848693094136</v>
      </c>
      <c r="H97" s="47" t="n">
        <f aca="false">$F$4+F97+(0.5*$F$10)</f>
        <v>11.7848693094136</v>
      </c>
      <c r="J97" s="44" t="n">
        <v>6</v>
      </c>
      <c r="K97" s="44" t="n">
        <v>14.6</v>
      </c>
      <c r="L97" s="44" t="n">
        <f aca="false">G97-J97</f>
        <v>-1.8151306905864</v>
      </c>
      <c r="M97" s="44" t="n">
        <f aca="false">H97-K97</f>
        <v>-2.8151306905864</v>
      </c>
      <c r="N97" s="44" t="n">
        <v>1.9065821</v>
      </c>
      <c r="O97" s="44" t="n">
        <v>19.251905</v>
      </c>
      <c r="P97" s="47" t="n">
        <f aca="false">G97-N97</f>
        <v>2.2782872094136</v>
      </c>
      <c r="Q97" s="47" t="n">
        <f aca="false">H97-O97</f>
        <v>-7.4670356905864</v>
      </c>
      <c r="R97" s="47" t="n">
        <f aca="false">J97-N97</f>
        <v>4.0934179</v>
      </c>
      <c r="S97" s="47" t="n">
        <f aca="false">K97-O97</f>
        <v>-4.651905</v>
      </c>
      <c r="U97" s="44" t="n">
        <v>9</v>
      </c>
      <c r="V97" s="44" t="n">
        <v>9</v>
      </c>
    </row>
    <row r="98" customFormat="false" ht="13.8" hidden="false" customHeight="false" outlineLevel="0" collapsed="false">
      <c r="A98" s="44" t="n">
        <v>10</v>
      </c>
      <c r="B98" s="44" t="n">
        <v>1</v>
      </c>
      <c r="C98" s="47" t="n">
        <f aca="false">((A98-1)*9+(B98))/108</f>
        <v>0.759259259259259</v>
      </c>
      <c r="D98" s="47" t="n">
        <f aca="false">MIN(ABS(C98*12-0.5),12-ABS(C98*12-0.5))/6</f>
        <v>0.564814814814815</v>
      </c>
      <c r="E98" s="47" t="n">
        <f aca="false">6*D98^5-15*D98^4+10*D98^3</f>
        <v>0.620173218621504</v>
      </c>
      <c r="F98" s="47" t="n">
        <f aca="false">E98*F$3</f>
        <v>20.1556296051989</v>
      </c>
      <c r="G98" s="47" t="n">
        <f aca="false">$F$4+F98+(-0.5*$F$10)</f>
        <v>3.10562960519888</v>
      </c>
      <c r="H98" s="47" t="n">
        <f aca="false">$F$4+F98+(0.5*$F$10)</f>
        <v>10.7056296051989</v>
      </c>
      <c r="J98" s="44" t="n">
        <v>3.7</v>
      </c>
      <c r="K98" s="44" t="n">
        <v>13.9</v>
      </c>
      <c r="L98" s="44" t="n">
        <f aca="false">G98-J98</f>
        <v>-0.594370394801121</v>
      </c>
      <c r="M98" s="44" t="n">
        <f aca="false">H98-K98</f>
        <v>-3.19437039480112</v>
      </c>
      <c r="N98" s="44" t="n">
        <v>-0.15050377</v>
      </c>
      <c r="O98" s="44" t="n">
        <v>18.666437</v>
      </c>
      <c r="P98" s="47" t="n">
        <f aca="false">G98-N98</f>
        <v>3.25613337519888</v>
      </c>
      <c r="Q98" s="47" t="n">
        <f aca="false">H98-O98</f>
        <v>-7.96080739480112</v>
      </c>
      <c r="R98" s="47" t="n">
        <f aca="false">J98-N98</f>
        <v>3.85050377</v>
      </c>
      <c r="S98" s="47" t="n">
        <f aca="false">K98-O98</f>
        <v>-4.766437</v>
      </c>
      <c r="U98" s="44" t="n">
        <v>10</v>
      </c>
      <c r="V98" s="44" t="n">
        <v>1</v>
      </c>
    </row>
    <row r="99" customFormat="false" ht="13.8" hidden="false" customHeight="false" outlineLevel="0" collapsed="false">
      <c r="A99" s="44" t="n">
        <v>10</v>
      </c>
      <c r="B99" s="44" t="n">
        <v>2</v>
      </c>
      <c r="C99" s="47" t="n">
        <f aca="false">((A99-1)*9+(B99))/108</f>
        <v>0.768518518518518</v>
      </c>
      <c r="D99" s="47" t="n">
        <f aca="false">MIN(ABS(C99*12-0.5),12-ABS(C99*12-0.5))/6</f>
        <v>0.546296296296296</v>
      </c>
      <c r="E99" s="47" t="n">
        <f aca="false">6*D99^5-15*D99^4+10*D99^3</f>
        <v>0.586310686498413</v>
      </c>
      <c r="F99" s="47" t="n">
        <f aca="false">E99*F$3</f>
        <v>19.0550973111984</v>
      </c>
      <c r="G99" s="47" t="n">
        <f aca="false">$F$4+F99+(-0.5*$F$10)</f>
        <v>2.00509731119842</v>
      </c>
      <c r="H99" s="47" t="n">
        <f aca="false">$F$4+F99+(0.5*$F$10)</f>
        <v>9.60509731119842</v>
      </c>
      <c r="J99" s="44" t="n">
        <v>4</v>
      </c>
      <c r="K99" s="44" t="n">
        <v>12.6</v>
      </c>
      <c r="L99" s="44" t="n">
        <f aca="false">G99-J99</f>
        <v>-1.99490268880158</v>
      </c>
      <c r="M99" s="44" t="n">
        <f aca="false">H99-K99</f>
        <v>-2.99490268880158</v>
      </c>
      <c r="N99" s="44" t="n">
        <v>-0.7425579</v>
      </c>
      <c r="O99" s="44" t="n">
        <v>17.203732</v>
      </c>
      <c r="P99" s="47" t="n">
        <f aca="false">G99-N99</f>
        <v>2.74765521119842</v>
      </c>
      <c r="Q99" s="47" t="n">
        <f aca="false">H99-O99</f>
        <v>-7.59863468880157</v>
      </c>
      <c r="R99" s="47" t="n">
        <f aca="false">J99-N99</f>
        <v>4.7425579</v>
      </c>
      <c r="S99" s="47" t="n">
        <f aca="false">K99-O99</f>
        <v>-4.603732</v>
      </c>
      <c r="U99" s="44" t="n">
        <v>10</v>
      </c>
      <c r="V99" s="44" t="n">
        <v>2</v>
      </c>
    </row>
    <row r="100" customFormat="false" ht="13.8" hidden="false" customHeight="false" outlineLevel="0" collapsed="false">
      <c r="A100" s="44" t="n">
        <v>10</v>
      </c>
      <c r="B100" s="44" t="n">
        <v>3</v>
      </c>
      <c r="C100" s="47" t="n">
        <f aca="false">((A100-1)*9+(B100))/108</f>
        <v>0.777777777777778</v>
      </c>
      <c r="D100" s="47" t="n">
        <f aca="false">MIN(ABS(C100*12-0.5),12-ABS(C100*12-0.5))/6</f>
        <v>0.527777777777778</v>
      </c>
      <c r="E100" s="47" t="n">
        <f aca="false">6*D100^5-15*D100^4+10*D100^3</f>
        <v>0.551976265209826</v>
      </c>
      <c r="F100" s="47" t="n">
        <f aca="false">E100*F$3</f>
        <v>17.9392286193193</v>
      </c>
      <c r="G100" s="47" t="n">
        <f aca="false">$F$4+F100+(-0.5*$F$10)</f>
        <v>0.889228619319344</v>
      </c>
      <c r="H100" s="47" t="n">
        <f aca="false">$F$4+F100+(0.5*$F$10)</f>
        <v>8.48922861931935</v>
      </c>
      <c r="J100" s="44" t="n">
        <v>2</v>
      </c>
      <c r="K100" s="44" t="n">
        <v>10.6</v>
      </c>
      <c r="L100" s="44" t="n">
        <f aca="false">G100-J100</f>
        <v>-1.11077138068066</v>
      </c>
      <c r="M100" s="44" t="n">
        <f aca="false">H100-K100</f>
        <v>-2.11077138068065</v>
      </c>
      <c r="N100" s="44" t="n">
        <v>-2.1232774</v>
      </c>
      <c r="O100" s="44" t="n">
        <v>16.600088</v>
      </c>
      <c r="P100" s="47" t="n">
        <f aca="false">G100-N100</f>
        <v>3.01250601931934</v>
      </c>
      <c r="Q100" s="47" t="n">
        <f aca="false">H100-O100</f>
        <v>-8.11085938068066</v>
      </c>
      <c r="R100" s="47" t="n">
        <f aca="false">J100-N100</f>
        <v>4.1232774</v>
      </c>
      <c r="S100" s="47" t="n">
        <f aca="false">K100-O100</f>
        <v>-6.000088</v>
      </c>
      <c r="U100" s="44" t="n">
        <v>10</v>
      </c>
      <c r="V100" s="44" t="n">
        <v>3</v>
      </c>
    </row>
    <row r="101" customFormat="false" ht="13.8" hidden="false" customHeight="false" outlineLevel="0" collapsed="false">
      <c r="A101" s="44" t="n">
        <v>10</v>
      </c>
      <c r="B101" s="44" t="n">
        <v>4</v>
      </c>
      <c r="C101" s="47" t="n">
        <f aca="false">((A101-1)*9+(B101))/108</f>
        <v>0.787037037037037</v>
      </c>
      <c r="D101" s="47" t="n">
        <f aca="false">MIN(ABS(C101*12-0.5),12-ABS(C101*12-0.5))/6</f>
        <v>0.509259259259259</v>
      </c>
      <c r="E101" s="47" t="n">
        <f aca="false">6*D101^5-15*D101^4+10*D101^3</f>
        <v>0.517357142358256</v>
      </c>
      <c r="F101" s="47" t="n">
        <f aca="false">E101*F$3</f>
        <v>16.8141071266433</v>
      </c>
      <c r="G101" s="47" t="n">
        <f aca="false">$F$4+F101+(-0.5*$F$10)</f>
        <v>-0.235892873356678</v>
      </c>
      <c r="H101" s="47" t="n">
        <f aca="false">$F$4+F101+(0.5*$F$10)</f>
        <v>7.36410712664332</v>
      </c>
      <c r="J101" s="44" t="n">
        <v>0.3</v>
      </c>
      <c r="K101" s="44" t="n">
        <v>9.4</v>
      </c>
      <c r="L101" s="44" t="n">
        <f aca="false">G101-J101</f>
        <v>-0.535892873356678</v>
      </c>
      <c r="M101" s="44" t="n">
        <f aca="false">H101-K101</f>
        <v>-2.03589287335668</v>
      </c>
      <c r="N101" s="44" t="n">
        <v>-3.1668856</v>
      </c>
      <c r="O101" s="44" t="n">
        <v>13.7121725</v>
      </c>
      <c r="P101" s="47" t="n">
        <f aca="false">G101-N101</f>
        <v>2.93099272664332</v>
      </c>
      <c r="Q101" s="47" t="n">
        <f aca="false">H101-O101</f>
        <v>-6.34806537335668</v>
      </c>
      <c r="R101" s="47" t="n">
        <f aca="false">J101-N101</f>
        <v>3.4668856</v>
      </c>
      <c r="S101" s="47" t="n">
        <f aca="false">K101-O101</f>
        <v>-4.3121725</v>
      </c>
      <c r="U101" s="44" t="n">
        <v>10</v>
      </c>
      <c r="V101" s="44" t="n">
        <v>4</v>
      </c>
    </row>
    <row r="102" customFormat="false" ht="13.8" hidden="false" customHeight="false" outlineLevel="0" collapsed="false">
      <c r="A102" s="44" t="n">
        <v>10</v>
      </c>
      <c r="B102" s="44" t="n">
        <v>5</v>
      </c>
      <c r="C102" s="47" t="n">
        <f aca="false">((A102-1)*9+(B102))/108</f>
        <v>0.796296296296296</v>
      </c>
      <c r="D102" s="47" t="n">
        <f aca="false">MIN(ABS(C102*12-0.5),12-ABS(C102*12-0.5))/6</f>
        <v>0.490740740740741</v>
      </c>
      <c r="E102" s="47" t="n">
        <f aca="false">6*D102^5-15*D102^4+10*D102^3</f>
        <v>0.482642857641744</v>
      </c>
      <c r="F102" s="47" t="n">
        <f aca="false">E102*F$3</f>
        <v>15.6858928733567</v>
      </c>
      <c r="G102" s="47" t="n">
        <f aca="false">$F$4+F102+(-0.5*$F$10)</f>
        <v>-1.36410712664332</v>
      </c>
      <c r="H102" s="47" t="n">
        <f aca="false">$F$4+F102+(0.5*$F$10)</f>
        <v>6.23589287335668</v>
      </c>
      <c r="J102" s="44" t="n">
        <v>-0.1</v>
      </c>
      <c r="K102" s="44" t="n">
        <v>9</v>
      </c>
      <c r="L102" s="44" t="n">
        <f aca="false">G102-J102</f>
        <v>-1.26410712664332</v>
      </c>
      <c r="M102" s="44" t="n">
        <f aca="false">H102-K102</f>
        <v>-2.76410712664332</v>
      </c>
      <c r="N102" s="44" t="n">
        <v>-3.6621015</v>
      </c>
      <c r="O102" s="44" t="n">
        <v>13.982488</v>
      </c>
      <c r="P102" s="47" t="n">
        <f aca="false">G102-N102</f>
        <v>2.29799437335668</v>
      </c>
      <c r="Q102" s="47" t="n">
        <f aca="false">H102-O102</f>
        <v>-7.74659512664332</v>
      </c>
      <c r="R102" s="47" t="n">
        <f aca="false">J102-N102</f>
        <v>3.5621015</v>
      </c>
      <c r="S102" s="47" t="n">
        <f aca="false">K102-O102</f>
        <v>-4.982488</v>
      </c>
      <c r="U102" s="44" t="n">
        <v>10</v>
      </c>
      <c r="V102" s="44" t="n">
        <v>5</v>
      </c>
    </row>
    <row r="103" customFormat="false" ht="13.8" hidden="false" customHeight="false" outlineLevel="0" collapsed="false">
      <c r="A103" s="44" t="n">
        <v>10</v>
      </c>
      <c r="B103" s="44" t="n">
        <v>6</v>
      </c>
      <c r="C103" s="47" t="n">
        <f aca="false">((A103-1)*9+(B103))/108</f>
        <v>0.805555555555556</v>
      </c>
      <c r="D103" s="47" t="n">
        <f aca="false">MIN(ABS(C103*12-0.5),12-ABS(C103*12-0.5))/6</f>
        <v>0.472222222222222</v>
      </c>
      <c r="E103" s="47" t="n">
        <f aca="false">6*D103^5-15*D103^4+10*D103^3</f>
        <v>0.448023734790174</v>
      </c>
      <c r="F103" s="47" t="n">
        <f aca="false">E103*F$3</f>
        <v>14.5607713806807</v>
      </c>
      <c r="G103" s="47" t="n">
        <f aca="false">$F$4+F103+(-0.5*$F$10)</f>
        <v>-2.48922861931935</v>
      </c>
      <c r="H103" s="47" t="n">
        <f aca="false">$F$4+F103+(0.5*$F$10)</f>
        <v>5.11077138068065</v>
      </c>
      <c r="J103" s="44" t="n">
        <v>-1.4</v>
      </c>
      <c r="K103" s="44" t="n">
        <v>8.5</v>
      </c>
      <c r="L103" s="44" t="n">
        <f aca="false">G103-J103</f>
        <v>-1.08922861931935</v>
      </c>
      <c r="M103" s="44" t="n">
        <f aca="false">H103-K103</f>
        <v>-3.38922861931935</v>
      </c>
      <c r="N103" s="44" t="n">
        <v>-4.5742264</v>
      </c>
      <c r="O103" s="44" t="n">
        <v>11.734963</v>
      </c>
      <c r="P103" s="47" t="n">
        <f aca="false">G103-N103</f>
        <v>2.08499778068065</v>
      </c>
      <c r="Q103" s="47" t="n">
        <f aca="false">H103-O103</f>
        <v>-6.62419161931935</v>
      </c>
      <c r="R103" s="47" t="n">
        <f aca="false">J103-N103</f>
        <v>3.1742264</v>
      </c>
      <c r="S103" s="47" t="n">
        <f aca="false">K103-O103</f>
        <v>-3.234963</v>
      </c>
      <c r="U103" s="44" t="n">
        <v>10</v>
      </c>
      <c r="V103" s="44" t="n">
        <v>6</v>
      </c>
    </row>
    <row r="104" customFormat="false" ht="13.8" hidden="false" customHeight="false" outlineLevel="0" collapsed="false">
      <c r="A104" s="44" t="n">
        <v>10</v>
      </c>
      <c r="B104" s="44" t="n">
        <v>7</v>
      </c>
      <c r="C104" s="47" t="n">
        <f aca="false">((A104-1)*9+(B104))/108</f>
        <v>0.814814814814815</v>
      </c>
      <c r="D104" s="47" t="n">
        <f aca="false">MIN(ABS(C104*12-0.5),12-ABS(C104*12-0.5))/6</f>
        <v>0.453703703703704</v>
      </c>
      <c r="E104" s="47" t="n">
        <f aca="false">6*D104^5-15*D104^4+10*D104^3</f>
        <v>0.413689313501588</v>
      </c>
      <c r="F104" s="47" t="n">
        <f aca="false">E104*F$3</f>
        <v>13.4449026888016</v>
      </c>
      <c r="G104" s="47" t="n">
        <f aca="false">$F$4+F104+(-0.5*$F$10)</f>
        <v>-3.60509731119839</v>
      </c>
      <c r="H104" s="47" t="n">
        <f aca="false">$F$4+F104+(0.5*$F$10)</f>
        <v>3.99490268880161</v>
      </c>
      <c r="J104" s="44" t="n">
        <v>-1.5</v>
      </c>
      <c r="K104" s="44" t="n">
        <v>6.3</v>
      </c>
      <c r="L104" s="44" t="n">
        <f aca="false">G104-J104</f>
        <v>-2.10509731119839</v>
      </c>
      <c r="M104" s="44" t="n">
        <f aca="false">H104-K104</f>
        <v>-2.30509731119839</v>
      </c>
      <c r="N104" s="44" t="n">
        <v>-6.359037</v>
      </c>
      <c r="O104" s="44" t="n">
        <v>11.628453</v>
      </c>
      <c r="P104" s="47" t="n">
        <f aca="false">G104-N104</f>
        <v>2.75393968880161</v>
      </c>
      <c r="Q104" s="47" t="n">
        <f aca="false">H104-O104</f>
        <v>-7.63355031119839</v>
      </c>
      <c r="R104" s="47" t="n">
        <f aca="false">J104-N104</f>
        <v>4.859037</v>
      </c>
      <c r="S104" s="47" t="n">
        <f aca="false">K104-O104</f>
        <v>-5.328453</v>
      </c>
      <c r="U104" s="44" t="n">
        <v>10</v>
      </c>
      <c r="V104" s="44" t="n">
        <v>7</v>
      </c>
    </row>
    <row r="105" customFormat="false" ht="13.8" hidden="false" customHeight="false" outlineLevel="0" collapsed="false">
      <c r="A105" s="44" t="n">
        <v>10</v>
      </c>
      <c r="B105" s="44" t="n">
        <v>8</v>
      </c>
      <c r="C105" s="47" t="n">
        <f aca="false">((A105-1)*9+(B105))/108</f>
        <v>0.824074074074074</v>
      </c>
      <c r="D105" s="47" t="n">
        <f aca="false">MIN(ABS(C105*12-0.5),12-ABS(C105*12-0.5))/6</f>
        <v>0.435185185185185</v>
      </c>
      <c r="E105" s="47" t="n">
        <f aca="false">6*D105^5-15*D105^4+10*D105^3</f>
        <v>0.379826781378496</v>
      </c>
      <c r="F105" s="47" t="n">
        <f aca="false">E105*F$3</f>
        <v>12.3443703948011</v>
      </c>
      <c r="G105" s="47" t="n">
        <f aca="false">$F$4+F105+(-0.5*$F$10)</f>
        <v>-4.70562960519888</v>
      </c>
      <c r="H105" s="47" t="n">
        <f aca="false">$F$4+F105+(0.5*$F$10)</f>
        <v>2.89437039480112</v>
      </c>
      <c r="J105" s="44" t="n">
        <v>-2.5</v>
      </c>
      <c r="K105" s="44" t="n">
        <v>6</v>
      </c>
      <c r="L105" s="44" t="n">
        <f aca="false">G105-J105</f>
        <v>-2.20562960519888</v>
      </c>
      <c r="M105" s="44" t="n">
        <f aca="false">H105-K105</f>
        <v>-3.10562960519888</v>
      </c>
      <c r="N105" s="44" t="n">
        <v>-7.9711137</v>
      </c>
      <c r="O105" s="44" t="n">
        <v>9.838724</v>
      </c>
      <c r="P105" s="47" t="n">
        <f aca="false">G105-N105</f>
        <v>3.26548409480112</v>
      </c>
      <c r="Q105" s="47" t="n">
        <f aca="false">H105-O105</f>
        <v>-6.94435360519888</v>
      </c>
      <c r="R105" s="47" t="n">
        <f aca="false">J105-N105</f>
        <v>5.4711137</v>
      </c>
      <c r="S105" s="47" t="n">
        <f aca="false">K105-O105</f>
        <v>-3.838724</v>
      </c>
      <c r="U105" s="44" t="n">
        <v>10</v>
      </c>
      <c r="V105" s="44" t="n">
        <v>8</v>
      </c>
    </row>
    <row r="106" customFormat="false" ht="13.8" hidden="false" customHeight="false" outlineLevel="0" collapsed="false">
      <c r="A106" s="44" t="n">
        <v>10</v>
      </c>
      <c r="B106" s="44" t="n">
        <v>9</v>
      </c>
      <c r="C106" s="47" t="n">
        <f aca="false">((A106-1)*9+(B106))/108</f>
        <v>0.833333333333333</v>
      </c>
      <c r="D106" s="47" t="n">
        <f aca="false">MIN(ABS(C106*12-0.5),12-ABS(C106*12-0.5))/6</f>
        <v>0.416666666666667</v>
      </c>
      <c r="E106" s="47" t="n">
        <f aca="false">6*D106^5-15*D106^4+10*D106^3</f>
        <v>0.346619405864198</v>
      </c>
      <c r="F106" s="47" t="n">
        <f aca="false">E106*F$3</f>
        <v>11.2651306905864</v>
      </c>
      <c r="G106" s="47" t="n">
        <f aca="false">$F$4+F106+(-0.5*$F$10)</f>
        <v>-5.78486930941357</v>
      </c>
      <c r="H106" s="47" t="n">
        <f aca="false">$F$4+F106+(0.5*$F$10)</f>
        <v>1.81513069058644</v>
      </c>
      <c r="J106" s="44" t="n">
        <v>-4.8</v>
      </c>
      <c r="K106" s="44" t="n">
        <v>4.2</v>
      </c>
      <c r="L106" s="44" t="n">
        <f aca="false">G106-J106</f>
        <v>-0.984869309413565</v>
      </c>
      <c r="M106" s="44" t="n">
        <f aca="false">H106-K106</f>
        <v>-2.38486930941357</v>
      </c>
      <c r="N106" s="44" t="n">
        <v>-8.98828</v>
      </c>
      <c r="O106" s="44" t="n">
        <v>9.607053</v>
      </c>
      <c r="P106" s="47" t="n">
        <f aca="false">G106-N106</f>
        <v>3.20341069058644</v>
      </c>
      <c r="Q106" s="47" t="n">
        <f aca="false">H106-O106</f>
        <v>-7.79192230941357</v>
      </c>
      <c r="R106" s="47" t="n">
        <f aca="false">J106-N106</f>
        <v>4.18828</v>
      </c>
      <c r="S106" s="47" t="n">
        <f aca="false">K106-O106</f>
        <v>-5.407053</v>
      </c>
      <c r="U106" s="44" t="n">
        <v>10</v>
      </c>
      <c r="V106" s="44" t="n">
        <v>9</v>
      </c>
    </row>
    <row r="107" customFormat="false" ht="13.8" hidden="false" customHeight="false" outlineLevel="0" collapsed="false">
      <c r="A107" s="44" t="n">
        <v>11</v>
      </c>
      <c r="B107" s="44" t="n">
        <v>1</v>
      </c>
      <c r="C107" s="47" t="n">
        <f aca="false">((A107-1)*9+(B107))/108</f>
        <v>0.842592592592593</v>
      </c>
      <c r="D107" s="47" t="n">
        <f aca="false">MIN(ABS(C107*12-0.5),12-ABS(C107*12-0.5))/6</f>
        <v>0.398148148148148</v>
      </c>
      <c r="E107" s="47" t="n">
        <f aca="false">6*D107^5-15*D107^4+10*D107^3</f>
        <v>0.314244966179088</v>
      </c>
      <c r="F107" s="47" t="n">
        <f aca="false">E107*F$3</f>
        <v>10.2129614008204</v>
      </c>
      <c r="G107" s="47" t="n">
        <f aca="false">$F$4+F107+(-0.5*$F$10)</f>
        <v>-6.83703859917964</v>
      </c>
      <c r="H107" s="47" t="n">
        <f aca="false">$F$4+F107+(0.5*$F$10)</f>
        <v>0.76296140082036</v>
      </c>
      <c r="J107" s="44" t="n">
        <v>-4.9</v>
      </c>
      <c r="K107" s="44" t="n">
        <v>3.5</v>
      </c>
      <c r="L107" s="44" t="n">
        <f aca="false">G107-J107</f>
        <v>-1.93703859917964</v>
      </c>
      <c r="M107" s="44" t="n">
        <f aca="false">H107-K107</f>
        <v>-2.73703859917964</v>
      </c>
      <c r="N107" s="44" t="n">
        <v>-9.237634</v>
      </c>
      <c r="O107" s="44" t="n">
        <v>7.6031857</v>
      </c>
      <c r="P107" s="47" t="n">
        <f aca="false">G107-N107</f>
        <v>2.40059540082036</v>
      </c>
      <c r="Q107" s="47" t="n">
        <f aca="false">H107-O107</f>
        <v>-6.84022429917964</v>
      </c>
      <c r="R107" s="47" t="n">
        <f aca="false">J107-N107</f>
        <v>4.337634</v>
      </c>
      <c r="S107" s="47" t="n">
        <f aca="false">K107-O107</f>
        <v>-4.1031857</v>
      </c>
      <c r="U107" s="44" t="n">
        <v>11</v>
      </c>
      <c r="V107" s="44" t="n">
        <v>1</v>
      </c>
    </row>
    <row r="108" customFormat="false" ht="13.8" hidden="false" customHeight="false" outlineLevel="0" collapsed="false">
      <c r="A108" s="44" t="n">
        <v>11</v>
      </c>
      <c r="B108" s="44" t="n">
        <v>2</v>
      </c>
      <c r="C108" s="47" t="n">
        <f aca="false">((A108-1)*9+(B108))/108</f>
        <v>0.851851851851852</v>
      </c>
      <c r="D108" s="47" t="n">
        <f aca="false">MIN(ABS(C108*12-0.5),12-ABS(C108*12-0.5))/6</f>
        <v>0.37962962962963</v>
      </c>
      <c r="E108" s="47" t="n">
        <f aca="false">6*D108^5-15*D108^4+10*D108^3</f>
        <v>0.282874185256977</v>
      </c>
      <c r="F108" s="47" t="n">
        <f aca="false">E108*F$3</f>
        <v>9.19341102085175</v>
      </c>
      <c r="G108" s="47" t="n">
        <f aca="false">$F$4+F108+(-0.5*$F$10)</f>
        <v>-7.85658897914825</v>
      </c>
      <c r="H108" s="47" t="n">
        <f aca="false">$F$4+F108+(0.5*$F$10)</f>
        <v>-0.256588979148249</v>
      </c>
      <c r="J108" s="44" t="n">
        <v>-6.8</v>
      </c>
      <c r="K108" s="44" t="n">
        <v>1.7</v>
      </c>
      <c r="L108" s="44" t="n">
        <f aca="false">G108-J108</f>
        <v>-1.05658897914825</v>
      </c>
      <c r="M108" s="44" t="n">
        <f aca="false">H108-K108</f>
        <v>-1.95658897914825</v>
      </c>
      <c r="N108" s="44" t="n">
        <v>-11.485889</v>
      </c>
      <c r="O108" s="44" t="n">
        <v>6.668641</v>
      </c>
      <c r="P108" s="47" t="n">
        <f aca="false">G108-N108</f>
        <v>3.62930002085175</v>
      </c>
      <c r="Q108" s="47" t="n">
        <f aca="false">H108-O108</f>
        <v>-6.92522997914825</v>
      </c>
      <c r="R108" s="47" t="n">
        <f aca="false">J108-N108</f>
        <v>4.685889</v>
      </c>
      <c r="S108" s="47" t="n">
        <f aca="false">K108-O108</f>
        <v>-4.968641</v>
      </c>
      <c r="U108" s="44" t="n">
        <v>11</v>
      </c>
      <c r="V108" s="44" t="n">
        <v>2</v>
      </c>
    </row>
    <row r="109" customFormat="false" ht="13.8" hidden="false" customHeight="false" outlineLevel="0" collapsed="false">
      <c r="A109" s="44" t="n">
        <v>11</v>
      </c>
      <c r="B109" s="44" t="n">
        <v>3</v>
      </c>
      <c r="C109" s="47" t="n">
        <f aca="false">((A109-1)*9+(B109))/108</f>
        <v>0.861111111111111</v>
      </c>
      <c r="D109" s="47" t="n">
        <f aca="false">MIN(ABS(C109*12-0.5),12-ABS(C109*12-0.5))/6</f>
        <v>0.361111111111111</v>
      </c>
      <c r="E109" s="47" t="n">
        <f aca="false">6*D109^5-15*D109^4+10*D109^3</f>
        <v>0.2526691616814</v>
      </c>
      <c r="F109" s="47" t="n">
        <f aca="false">E109*F$3</f>
        <v>8.2117477546455</v>
      </c>
      <c r="G109" s="47" t="n">
        <f aca="false">$F$4+F109+(-0.5*$F$10)</f>
        <v>-8.8382522453545</v>
      </c>
      <c r="H109" s="47" t="n">
        <f aca="false">$F$4+F109+(0.5*$F$10)</f>
        <v>-1.2382522453545</v>
      </c>
      <c r="J109" s="44" t="n">
        <v>-7.9</v>
      </c>
      <c r="K109" s="44" t="n">
        <v>2.1</v>
      </c>
      <c r="L109" s="44" t="n">
        <f aca="false">G109-J109</f>
        <v>-0.9382522453545</v>
      </c>
      <c r="M109" s="44" t="n">
        <f aca="false">H109-K109</f>
        <v>-3.3382522453545</v>
      </c>
      <c r="N109" s="44" t="n">
        <v>-13.055549</v>
      </c>
      <c r="O109" s="44" t="n">
        <v>5.184152</v>
      </c>
      <c r="P109" s="47" t="n">
        <f aca="false">G109-N109</f>
        <v>4.2172967546455</v>
      </c>
      <c r="Q109" s="47" t="n">
        <f aca="false">H109-O109</f>
        <v>-6.4224042453545</v>
      </c>
      <c r="R109" s="47" t="n">
        <f aca="false">J109-N109</f>
        <v>5.155549</v>
      </c>
      <c r="S109" s="47" t="n">
        <f aca="false">K109-O109</f>
        <v>-3.084152</v>
      </c>
      <c r="U109" s="44" t="n">
        <v>11</v>
      </c>
      <c r="V109" s="44" t="n">
        <v>3</v>
      </c>
    </row>
    <row r="110" customFormat="false" ht="13.8" hidden="false" customHeight="false" outlineLevel="0" collapsed="false">
      <c r="A110" s="44" t="n">
        <v>11</v>
      </c>
      <c r="B110" s="44" t="n">
        <v>4</v>
      </c>
      <c r="C110" s="47" t="n">
        <f aca="false">((A110-1)*9+(B110))/108</f>
        <v>0.87037037037037</v>
      </c>
      <c r="D110" s="47" t="n">
        <f aca="false">MIN(ABS(C110*12-0.5),12-ABS(C110*12-0.5))/6</f>
        <v>0.342592592592593</v>
      </c>
      <c r="E110" s="47" t="n">
        <f aca="false">6*D110^5-15*D110^4+10*D110^3</f>
        <v>0.223781801621937</v>
      </c>
      <c r="F110" s="47" t="n">
        <f aca="false">E110*F$3</f>
        <v>7.27290855271295</v>
      </c>
      <c r="G110" s="47" t="n">
        <f aca="false">$F$4+F110+(-0.5*$F$10)</f>
        <v>-9.77709144728705</v>
      </c>
      <c r="H110" s="47" t="n">
        <f aca="false">$F$4+F110+(0.5*$F$10)</f>
        <v>-2.17709144728705</v>
      </c>
      <c r="J110" s="44" t="n">
        <v>-8.4</v>
      </c>
      <c r="K110" s="44" t="n">
        <v>-0.1</v>
      </c>
      <c r="L110" s="44" t="n">
        <f aca="false">G110-J110</f>
        <v>-1.37709144728705</v>
      </c>
      <c r="M110" s="44" t="n">
        <f aca="false">H110-K110</f>
        <v>-2.07709144728705</v>
      </c>
      <c r="N110" s="44" t="n">
        <v>-12.7284355</v>
      </c>
      <c r="O110" s="44" t="n">
        <v>5.9931073</v>
      </c>
      <c r="P110" s="47" t="n">
        <f aca="false">G110-N110</f>
        <v>2.95134405271295</v>
      </c>
      <c r="Q110" s="47" t="n">
        <f aca="false">H110-O110</f>
        <v>-8.17019874728705</v>
      </c>
      <c r="R110" s="47" t="n">
        <f aca="false">J110-N110</f>
        <v>4.3284355</v>
      </c>
      <c r="S110" s="47" t="n">
        <f aca="false">K110-O110</f>
        <v>-6.0931073</v>
      </c>
      <c r="U110" s="44" t="n">
        <v>11</v>
      </c>
      <c r="V110" s="44" t="n">
        <v>4</v>
      </c>
    </row>
    <row r="111" customFormat="false" ht="13.8" hidden="false" customHeight="false" outlineLevel="0" collapsed="false">
      <c r="A111" s="44" t="n">
        <v>11</v>
      </c>
      <c r="B111" s="44" t="n">
        <v>5</v>
      </c>
      <c r="C111" s="47" t="n">
        <f aca="false">((A111-1)*9+(B111))/108</f>
        <v>0.87962962962963</v>
      </c>
      <c r="D111" s="47" t="n">
        <f aca="false">MIN(ABS(C111*12-0.5),12-ABS(C111*12-0.5))/6</f>
        <v>0.324074074074074</v>
      </c>
      <c r="E111" s="47" t="n">
        <f aca="false">6*D111^5-15*D111^4+10*D111^3</f>
        <v>0.19635225077052</v>
      </c>
      <c r="F111" s="47" t="n">
        <f aca="false">E111*F$3</f>
        <v>6.3814481500419</v>
      </c>
      <c r="G111" s="47" t="n">
        <f aca="false">$F$4+F111+(-0.5*$F$10)</f>
        <v>-10.6685518499581</v>
      </c>
      <c r="H111" s="47" t="n">
        <f aca="false">$F$4+F111+(0.5*$F$10)</f>
        <v>-3.0685518499581</v>
      </c>
      <c r="J111" s="44" t="n">
        <v>-10.5</v>
      </c>
      <c r="K111" s="44" t="n">
        <v>-1.5</v>
      </c>
      <c r="L111" s="44" t="n">
        <f aca="false">G111-J111</f>
        <v>-0.168551849958099</v>
      </c>
      <c r="M111" s="44" t="n">
        <f aca="false">H111-K111</f>
        <v>-1.5685518499581</v>
      </c>
      <c r="N111" s="44" t="n">
        <v>-14.573574</v>
      </c>
      <c r="O111" s="44" t="n">
        <v>5.1871834</v>
      </c>
      <c r="P111" s="47" t="n">
        <f aca="false">G111-N111</f>
        <v>3.9050221500419</v>
      </c>
      <c r="Q111" s="47" t="n">
        <f aca="false">H111-O111</f>
        <v>-8.2557352499581</v>
      </c>
      <c r="R111" s="47" t="n">
        <f aca="false">J111-N111</f>
        <v>4.073574</v>
      </c>
      <c r="S111" s="47" t="n">
        <f aca="false">K111-O111</f>
        <v>-6.6871834</v>
      </c>
      <c r="U111" s="44" t="n">
        <v>11</v>
      </c>
      <c r="V111" s="44" t="n">
        <v>5</v>
      </c>
    </row>
    <row r="112" customFormat="false" ht="13.8" hidden="false" customHeight="false" outlineLevel="0" collapsed="false">
      <c r="A112" s="44" t="n">
        <v>11</v>
      </c>
      <c r="B112" s="44" t="n">
        <v>6</v>
      </c>
      <c r="C112" s="47" t="n">
        <f aca="false">((A112-1)*9+(B112))/108</f>
        <v>0.888888888888889</v>
      </c>
      <c r="D112" s="47" t="n">
        <f aca="false">MIN(ABS(C112*12-0.5),12-ABS(C112*12-0.5))/6</f>
        <v>0.305555555555556</v>
      </c>
      <c r="E112" s="47" t="n">
        <f aca="false">6*D112^5-15*D112^4+10*D112^3</f>
        <v>0.170507326277753</v>
      </c>
      <c r="F112" s="47" t="n">
        <f aca="false">E112*F$3</f>
        <v>5.54148810402697</v>
      </c>
      <c r="G112" s="47" t="n">
        <f aca="false">$F$4+F112+(-0.5*$F$10)</f>
        <v>-11.508511895973</v>
      </c>
      <c r="H112" s="47" t="n">
        <f aca="false">$F$4+F112+(0.5*$F$10)</f>
        <v>-3.90851189597303</v>
      </c>
      <c r="J112" s="44" t="n">
        <v>-11.3</v>
      </c>
      <c r="K112" s="44" t="n">
        <v>-2.7</v>
      </c>
      <c r="L112" s="44" t="n">
        <f aca="false">G112-J112</f>
        <v>-0.208511895973025</v>
      </c>
      <c r="M112" s="44" t="n">
        <f aca="false">H112-K112</f>
        <v>-1.20851189597303</v>
      </c>
      <c r="N112" s="44" t="n">
        <v>-14.642226</v>
      </c>
      <c r="O112" s="44" t="n">
        <v>2.7065122</v>
      </c>
      <c r="P112" s="47" t="n">
        <f aca="false">G112-N112</f>
        <v>3.13371410402698</v>
      </c>
      <c r="Q112" s="47" t="n">
        <f aca="false">H112-O112</f>
        <v>-6.61502409597303</v>
      </c>
      <c r="R112" s="47" t="n">
        <f aca="false">J112-N112</f>
        <v>3.342226</v>
      </c>
      <c r="S112" s="47" t="n">
        <f aca="false">K112-O112</f>
        <v>-5.4065122</v>
      </c>
      <c r="U112" s="44" t="n">
        <v>11</v>
      </c>
      <c r="V112" s="44" t="n">
        <v>6</v>
      </c>
    </row>
    <row r="113" customFormat="false" ht="13.8" hidden="false" customHeight="false" outlineLevel="0" collapsed="false">
      <c r="A113" s="44" t="n">
        <v>11</v>
      </c>
      <c r="B113" s="44" t="n">
        <v>7</v>
      </c>
      <c r="C113" s="47" t="n">
        <f aca="false">((A113-1)*9+(B113))/108</f>
        <v>0.898148148148148</v>
      </c>
      <c r="D113" s="47" t="n">
        <f aca="false">MIN(ABS(C113*12-0.5),12-ABS(C113*12-0.5))/6</f>
        <v>0.287037037037037</v>
      </c>
      <c r="E113" s="47" t="n">
        <f aca="false">6*D113^5-15*D113^4+10*D113^3</f>
        <v>0.146358948689219</v>
      </c>
      <c r="F113" s="47" t="n">
        <f aca="false">E113*F$3</f>
        <v>4.75666583239962</v>
      </c>
      <c r="G113" s="47" t="n">
        <f aca="false">$F$4+F113+(-0.5*$F$10)</f>
        <v>-12.2933341676004</v>
      </c>
      <c r="H113" s="47" t="n">
        <f aca="false">$F$4+F113+(0.5*$F$10)</f>
        <v>-4.69333416760038</v>
      </c>
      <c r="J113" s="44" t="n">
        <v>-11.1</v>
      </c>
      <c r="K113" s="44" t="n">
        <v>-1.7</v>
      </c>
      <c r="L113" s="44" t="n">
        <f aca="false">G113-J113</f>
        <v>-1.19333416760038</v>
      </c>
      <c r="M113" s="44" t="n">
        <f aca="false">H113-K113</f>
        <v>-2.99333416760038</v>
      </c>
      <c r="N113" s="44" t="n">
        <v>-14.497995</v>
      </c>
      <c r="O113" s="44" t="n">
        <v>2.5568643</v>
      </c>
      <c r="P113" s="47" t="n">
        <f aca="false">G113-N113</f>
        <v>2.20466083239962</v>
      </c>
      <c r="Q113" s="47" t="n">
        <f aca="false">H113-O113</f>
        <v>-7.25019846760038</v>
      </c>
      <c r="R113" s="47" t="n">
        <f aca="false">J113-N113</f>
        <v>3.397995</v>
      </c>
      <c r="S113" s="47" t="n">
        <f aca="false">K113-O113</f>
        <v>-4.2568643</v>
      </c>
      <c r="U113" s="44" t="n">
        <v>11</v>
      </c>
      <c r="V113" s="44" t="n">
        <v>7</v>
      </c>
    </row>
    <row r="114" customFormat="false" ht="13.8" hidden="false" customHeight="false" outlineLevel="0" collapsed="false">
      <c r="A114" s="44" t="n">
        <v>11</v>
      </c>
      <c r="B114" s="44" t="n">
        <v>8</v>
      </c>
      <c r="C114" s="47" t="n">
        <f aca="false">((A114-1)*9+(B114))/108</f>
        <v>0.907407407407407</v>
      </c>
      <c r="D114" s="47" t="n">
        <f aca="false">MIN(ABS(C114*12-0.5),12-ABS(C114*12-0.5))/6</f>
        <v>0.268518518518518</v>
      </c>
      <c r="E114" s="47" t="n">
        <f aca="false">6*D114^5-15*D114^4+10*D114^3</f>
        <v>0.124002573881803</v>
      </c>
      <c r="F114" s="47" t="n">
        <f aca="false">E114*F$3</f>
        <v>4.0300836511586</v>
      </c>
      <c r="G114" s="47" t="n">
        <f aca="false">$F$4+F114+(-0.5*$F$10)</f>
        <v>-13.0199163488414</v>
      </c>
      <c r="H114" s="47" t="n">
        <f aca="false">$F$4+F114+(0.5*$F$10)</f>
        <v>-5.4199163488414</v>
      </c>
      <c r="J114" s="44" t="n">
        <v>-11</v>
      </c>
      <c r="K114" s="44" t="n">
        <v>-2</v>
      </c>
      <c r="L114" s="44" t="n">
        <f aca="false">G114-J114</f>
        <v>-2.0199163488414</v>
      </c>
      <c r="M114" s="44" t="n">
        <f aca="false">H114-K114</f>
        <v>-3.4199163488414</v>
      </c>
      <c r="N114" s="44" t="n">
        <v>-17.445261</v>
      </c>
      <c r="O114" s="44" t="n">
        <v>0.8739798</v>
      </c>
      <c r="P114" s="47" t="n">
        <f aca="false">G114-N114</f>
        <v>4.4253446511586</v>
      </c>
      <c r="Q114" s="47" t="n">
        <f aca="false">H114-O114</f>
        <v>-6.2938961488414</v>
      </c>
      <c r="R114" s="47" t="n">
        <f aca="false">J114-N114</f>
        <v>6.445261</v>
      </c>
      <c r="S114" s="47" t="n">
        <f aca="false">K114-O114</f>
        <v>-2.8739798</v>
      </c>
      <c r="U114" s="44" t="n">
        <v>11</v>
      </c>
      <c r="V114" s="44" t="n">
        <v>8</v>
      </c>
    </row>
    <row r="115" customFormat="false" ht="13.8" hidden="false" customHeight="false" outlineLevel="0" collapsed="false">
      <c r="A115" s="44" t="n">
        <v>11</v>
      </c>
      <c r="B115" s="44" t="n">
        <v>9</v>
      </c>
      <c r="C115" s="47" t="n">
        <f aca="false">((A115-1)*9+(B115))/108</f>
        <v>0.916666666666667</v>
      </c>
      <c r="D115" s="47" t="n">
        <f aca="false">MIN(ABS(C115*12-0.5),12-ABS(C115*12-0.5))/6</f>
        <v>0.25</v>
      </c>
      <c r="E115" s="47" t="n">
        <f aca="false">6*D115^5-15*D115^4+10*D115^3</f>
        <v>0.103515625</v>
      </c>
      <c r="F115" s="47" t="n">
        <f aca="false">E115*F$3</f>
        <v>3.3642578125</v>
      </c>
      <c r="G115" s="47" t="n">
        <f aca="false">$F$4+F115+(-0.5*$F$10)</f>
        <v>-13.6857421875</v>
      </c>
      <c r="H115" s="47" t="n">
        <f aca="false">$F$4+F115+(0.5*$F$10)</f>
        <v>-6.0857421875</v>
      </c>
      <c r="J115" s="44" t="n">
        <v>-13.2</v>
      </c>
      <c r="K115" s="44" t="n">
        <v>-4.3</v>
      </c>
      <c r="L115" s="44" t="n">
        <f aca="false">G115-J115</f>
        <v>-0.485742187500001</v>
      </c>
      <c r="M115" s="44" t="n">
        <f aca="false">H115-K115</f>
        <v>-1.7857421875</v>
      </c>
      <c r="N115" s="44" t="n">
        <v>-16.570902</v>
      </c>
      <c r="O115" s="44" t="n">
        <v>0.5613243</v>
      </c>
      <c r="P115" s="47" t="n">
        <f aca="false">G115-N115</f>
        <v>2.8851598125</v>
      </c>
      <c r="Q115" s="47" t="n">
        <f aca="false">H115-O115</f>
        <v>-6.6470664875</v>
      </c>
      <c r="R115" s="47" t="n">
        <f aca="false">J115-N115</f>
        <v>3.370902</v>
      </c>
      <c r="S115" s="47" t="n">
        <f aca="false">K115-O115</f>
        <v>-4.8613243</v>
      </c>
      <c r="U115" s="44" t="n">
        <v>11</v>
      </c>
      <c r="V115" s="44" t="n">
        <v>9</v>
      </c>
    </row>
    <row r="116" customFormat="false" ht="13.8" hidden="false" customHeight="false" outlineLevel="0" collapsed="false">
      <c r="A116" s="44" t="n">
        <v>12</v>
      </c>
      <c r="B116" s="44" t="n">
        <v>1</v>
      </c>
      <c r="C116" s="47" t="n">
        <f aca="false">((A116-1)*9+(B116))/108</f>
        <v>0.925925925925926</v>
      </c>
      <c r="D116" s="47" t="n">
        <f aca="false">MIN(ABS(C116*12-0.5),12-ABS(C116*12-0.5))/6</f>
        <v>0.231481481481482</v>
      </c>
      <c r="E116" s="47" t="n">
        <f aca="false">6*D116^5-15*D116^4+10*D116^3</f>
        <v>0.084955924392229</v>
      </c>
      <c r="F116" s="47" t="n">
        <f aca="false">E116*F$3</f>
        <v>2.76106754274744</v>
      </c>
      <c r="G116" s="47" t="n">
        <f aca="false">$F$4+F116+(-0.5*$F$10)</f>
        <v>-14.2889324572526</v>
      </c>
      <c r="H116" s="47" t="n">
        <f aca="false">$F$4+F116+(0.5*$F$10)</f>
        <v>-6.68893245725256</v>
      </c>
      <c r="J116" s="44" t="n">
        <v>-13.2</v>
      </c>
      <c r="K116" s="44" t="n">
        <v>-6</v>
      </c>
      <c r="L116" s="44" t="n">
        <f aca="false">G116-J116</f>
        <v>-1.08893245725256</v>
      </c>
      <c r="M116" s="44" t="n">
        <f aca="false">H116-K116</f>
        <v>-0.688932457252558</v>
      </c>
      <c r="N116" s="44" t="n">
        <v>-16.898678</v>
      </c>
      <c r="O116" s="44" t="n">
        <v>-0.5521777</v>
      </c>
      <c r="P116" s="47" t="n">
        <f aca="false">G116-N116</f>
        <v>2.60974554274744</v>
      </c>
      <c r="Q116" s="47" t="n">
        <f aca="false">H116-O116</f>
        <v>-6.13675475725256</v>
      </c>
      <c r="R116" s="47" t="n">
        <f aca="false">J116-N116</f>
        <v>3.698678</v>
      </c>
      <c r="S116" s="47" t="n">
        <f aca="false">K116-O116</f>
        <v>-5.4478223</v>
      </c>
      <c r="U116" s="44" t="n">
        <v>12</v>
      </c>
      <c r="V116" s="44" t="n">
        <v>1</v>
      </c>
    </row>
    <row r="117" customFormat="false" ht="13.8" hidden="false" customHeight="false" outlineLevel="0" collapsed="false">
      <c r="A117" s="44" t="n">
        <v>12</v>
      </c>
      <c r="B117" s="44" t="n">
        <v>2</v>
      </c>
      <c r="C117" s="47" t="n">
        <f aca="false">((A117-1)*9+(B117))/108</f>
        <v>0.935185185185185</v>
      </c>
      <c r="D117" s="47" t="n">
        <f aca="false">MIN(ABS(C117*12-0.5),12-ABS(C117*12-0.5))/6</f>
        <v>0.212962962962963</v>
      </c>
      <c r="E117" s="47" t="n">
        <f aca="false">6*D117^5-15*D117^4+10*D117^3</f>
        <v>0.0683601255471496</v>
      </c>
      <c r="F117" s="47" t="n">
        <f aca="false">E117*F$3</f>
        <v>2.22170408028236</v>
      </c>
      <c r="G117" s="47" t="n">
        <f aca="false">$F$4+F117+(-0.5*$F$10)</f>
        <v>-14.8282959197176</v>
      </c>
      <c r="H117" s="47" t="n">
        <f aca="false">$F$4+F117+(0.5*$F$10)</f>
        <v>-7.22829591971764</v>
      </c>
      <c r="J117" s="44" t="n">
        <v>-14.2</v>
      </c>
      <c r="K117" s="44" t="n">
        <v>-4.3</v>
      </c>
      <c r="L117" s="44" t="n">
        <f aca="false">G117-J117</f>
        <v>-0.62829591971764</v>
      </c>
      <c r="M117" s="44" t="n">
        <f aca="false">H117-K117</f>
        <v>-2.92829591971764</v>
      </c>
      <c r="N117" s="44" t="n">
        <v>-18.114697</v>
      </c>
      <c r="O117" s="44" t="n">
        <v>-0.3999544</v>
      </c>
      <c r="P117" s="47" t="n">
        <f aca="false">G117-N117</f>
        <v>3.28640108028236</v>
      </c>
      <c r="Q117" s="47" t="n">
        <f aca="false">H117-O117</f>
        <v>-6.82834151971764</v>
      </c>
      <c r="R117" s="47" t="n">
        <f aca="false">J117-N117</f>
        <v>3.914697</v>
      </c>
      <c r="S117" s="47" t="n">
        <f aca="false">K117-O117</f>
        <v>-3.9000456</v>
      </c>
      <c r="U117" s="44" t="n">
        <v>12</v>
      </c>
      <c r="V117" s="44" t="n">
        <v>2</v>
      </c>
    </row>
    <row r="118" customFormat="false" ht="13.8" hidden="false" customHeight="false" outlineLevel="0" collapsed="false">
      <c r="A118" s="44" t="n">
        <v>12</v>
      </c>
      <c r="B118" s="44" t="n">
        <v>3</v>
      </c>
      <c r="C118" s="47" t="n">
        <f aca="false">((A118-1)*9+(B118))/108</f>
        <v>0.944444444444444</v>
      </c>
      <c r="D118" s="47" t="n">
        <f aca="false">MIN(ABS(C118*12-0.5),12-ABS(C118*12-0.5))/6</f>
        <v>0.194444444444445</v>
      </c>
      <c r="E118" s="47" t="n">
        <f aca="false">6*D118^5-15*D118^4+10*D118^3</f>
        <v>0.0537421450299753</v>
      </c>
      <c r="F118" s="47" t="n">
        <f aca="false">E118*F$3</f>
        <v>1.7466197134742</v>
      </c>
      <c r="G118" s="47" t="n">
        <f aca="false">$F$4+F118+(-0.5*$F$10)</f>
        <v>-15.3033802865258</v>
      </c>
      <c r="H118" s="47" t="n">
        <f aca="false">$F$4+F118+(0.5*$F$10)</f>
        <v>-7.7033802865258</v>
      </c>
      <c r="J118" s="44" t="n">
        <v>-14.6</v>
      </c>
      <c r="K118" s="44" t="n">
        <v>-6.1</v>
      </c>
      <c r="L118" s="44" t="n">
        <f aca="false">G118-J118</f>
        <v>-0.703380286525801</v>
      </c>
      <c r="M118" s="44" t="n">
        <f aca="false">H118-K118</f>
        <v>-1.6033802865258</v>
      </c>
      <c r="N118" s="44" t="n">
        <v>-18.922144</v>
      </c>
      <c r="O118" s="44" t="n">
        <v>0.06639548</v>
      </c>
      <c r="P118" s="47" t="n">
        <f aca="false">G118-N118</f>
        <v>3.6187637134742</v>
      </c>
      <c r="Q118" s="47" t="n">
        <f aca="false">H118-O118</f>
        <v>-7.7697757665258</v>
      </c>
      <c r="R118" s="47" t="n">
        <f aca="false">J118-N118</f>
        <v>4.322144</v>
      </c>
      <c r="S118" s="47" t="n">
        <f aca="false">K118-O118</f>
        <v>-6.16639548</v>
      </c>
      <c r="U118" s="44" t="n">
        <v>12</v>
      </c>
      <c r="V118" s="44" t="n">
        <v>3</v>
      </c>
    </row>
    <row r="119" customFormat="false" ht="13.8" hidden="false" customHeight="false" outlineLevel="0" collapsed="false">
      <c r="A119" s="44" t="n">
        <v>12</v>
      </c>
      <c r="B119" s="44" t="n">
        <v>4</v>
      </c>
      <c r="C119" s="47" t="n">
        <f aca="false">((A119-1)*9+(B119))/108</f>
        <v>0.953703703703704</v>
      </c>
      <c r="D119" s="47" t="n">
        <f aca="false">MIN(ABS(C119*12-0.5),12-ABS(C119*12-0.5))/6</f>
        <v>0.175925925925926</v>
      </c>
      <c r="E119" s="47" t="n">
        <f aca="false">6*D119^5-15*D119^4+10*D119^3</f>
        <v>0.0410915944187857</v>
      </c>
      <c r="F119" s="47" t="n">
        <f aca="false">E119*F$3</f>
        <v>1.33547681861054</v>
      </c>
      <c r="G119" s="47" t="n">
        <f aca="false">$F$4+F119+(-0.5*$F$10)</f>
        <v>-15.7145231813895</v>
      </c>
      <c r="H119" s="47" t="n">
        <f aca="false">$F$4+F119+(0.5*$F$10)</f>
        <v>-8.11452318138947</v>
      </c>
      <c r="J119" s="44" t="n">
        <v>-14.5</v>
      </c>
      <c r="K119" s="44" t="n">
        <v>-6.6</v>
      </c>
      <c r="L119" s="44" t="n">
        <f aca="false">G119-J119</f>
        <v>-1.21452318138946</v>
      </c>
      <c r="M119" s="44" t="n">
        <f aca="false">H119-K119</f>
        <v>-1.51452318138947</v>
      </c>
      <c r="N119" s="44" t="n">
        <v>-19.4911</v>
      </c>
      <c r="O119" s="44" t="n">
        <v>-1.1527618</v>
      </c>
      <c r="P119" s="47" t="n">
        <f aca="false">G119-N119</f>
        <v>3.77657681861054</v>
      </c>
      <c r="Q119" s="47" t="n">
        <f aca="false">H119-O119</f>
        <v>-6.96176138138947</v>
      </c>
      <c r="R119" s="47" t="n">
        <f aca="false">J119-N119</f>
        <v>4.9911</v>
      </c>
      <c r="S119" s="47" t="n">
        <f aca="false">K119-O119</f>
        <v>-5.4472382</v>
      </c>
      <c r="U119" s="44" t="n">
        <v>12</v>
      </c>
      <c r="V119" s="44" t="n">
        <v>4</v>
      </c>
    </row>
    <row r="120" customFormat="false" ht="13.8" hidden="false" customHeight="false" outlineLevel="0" collapsed="false">
      <c r="A120" s="44" t="n">
        <v>12</v>
      </c>
      <c r="B120" s="44" t="n">
        <v>5</v>
      </c>
      <c r="C120" s="47" t="n">
        <f aca="false">((A120-1)*9+(B120))/108</f>
        <v>0.962962962962963</v>
      </c>
      <c r="D120" s="47" t="n">
        <f aca="false">MIN(ABS(C120*12-0.5),12-ABS(C120*12-0.5))/6</f>
        <v>0.157407407407407</v>
      </c>
      <c r="E120" s="47" t="n">
        <f aca="false">6*D120^5-15*D120^4+10*D120^3</f>
        <v>0.0303722122408435</v>
      </c>
      <c r="F120" s="47" t="n">
        <f aca="false">E120*F$3</f>
        <v>0.987096897827414</v>
      </c>
      <c r="G120" s="47" t="n">
        <f aca="false">$F$4+F120+(-0.5*$F$10)</f>
        <v>-16.0629031021726</v>
      </c>
      <c r="H120" s="47" t="n">
        <f aca="false">$F$4+F120+(0.5*$F$10)</f>
        <v>-8.46290310217259</v>
      </c>
      <c r="J120" s="44" t="n">
        <v>-15.8</v>
      </c>
      <c r="K120" s="44" t="n">
        <v>-6.8</v>
      </c>
      <c r="L120" s="44" t="n">
        <f aca="false">G120-J120</f>
        <v>-0.262903102172587</v>
      </c>
      <c r="M120" s="44" t="n">
        <f aca="false">H120-K120</f>
        <v>-1.66290310217259</v>
      </c>
      <c r="N120" s="44" t="n">
        <v>-20.266218</v>
      </c>
      <c r="O120" s="44" t="n">
        <v>-2.677198</v>
      </c>
      <c r="P120" s="47" t="n">
        <f aca="false">G120-N120</f>
        <v>4.20331489782741</v>
      </c>
      <c r="Q120" s="47" t="n">
        <f aca="false">H120-O120</f>
        <v>-5.78570510217259</v>
      </c>
      <c r="R120" s="47" t="n">
        <f aca="false">J120-N120</f>
        <v>4.466218</v>
      </c>
      <c r="S120" s="47" t="n">
        <f aca="false">K120-O120</f>
        <v>-4.122802</v>
      </c>
      <c r="U120" s="44" t="n">
        <v>12</v>
      </c>
      <c r="V120" s="44" t="n">
        <v>5</v>
      </c>
    </row>
    <row r="121" customFormat="false" ht="13.8" hidden="false" customHeight="false" outlineLevel="0" collapsed="false">
      <c r="A121" s="44" t="n">
        <v>12</v>
      </c>
      <c r="B121" s="44" t="n">
        <v>6</v>
      </c>
      <c r="C121" s="47" t="n">
        <f aca="false">((A121-1)*9+(B121))/108</f>
        <v>0.972222222222222</v>
      </c>
      <c r="D121" s="47" t="n">
        <f aca="false">MIN(ABS(C121*12-0.5),12-ABS(C121*12-0.5))/6</f>
        <v>0.138888888888889</v>
      </c>
      <c r="E121" s="47" t="n">
        <f aca="false">6*D121^5-15*D121^4+10*D121^3</f>
        <v>0.0215202959089062</v>
      </c>
      <c r="F121" s="47" t="n">
        <f aca="false">E121*F$3</f>
        <v>0.699409617039452</v>
      </c>
      <c r="G121" s="47" t="n">
        <f aca="false">$F$4+F121+(-0.5*$F$10)</f>
        <v>-16.3505903829605</v>
      </c>
      <c r="H121" s="47" t="n">
        <f aca="false">$F$4+F121+(0.5*$F$10)</f>
        <v>-8.75059038296055</v>
      </c>
      <c r="J121" s="44" t="n">
        <v>-16.2</v>
      </c>
      <c r="K121" s="44" t="n">
        <v>-6.6</v>
      </c>
      <c r="L121" s="44" t="n">
        <f aca="false">G121-J121</f>
        <v>-0.150590382960548</v>
      </c>
      <c r="M121" s="44" t="n">
        <f aca="false">H121-K121</f>
        <v>-2.15059038296055</v>
      </c>
      <c r="N121" s="44" t="n">
        <v>-19.39473</v>
      </c>
      <c r="O121" s="44" t="n">
        <v>-1.7068677</v>
      </c>
      <c r="P121" s="47" t="n">
        <f aca="false">G121-N121</f>
        <v>3.04413961703945</v>
      </c>
      <c r="Q121" s="47" t="n">
        <f aca="false">H121-O121</f>
        <v>-7.04372268296055</v>
      </c>
      <c r="R121" s="47" t="n">
        <f aca="false">J121-N121</f>
        <v>3.19473</v>
      </c>
      <c r="S121" s="47" t="n">
        <f aca="false">K121-O121</f>
        <v>-4.8931323</v>
      </c>
      <c r="U121" s="44" t="n">
        <v>12</v>
      </c>
      <c r="V121" s="44" t="n">
        <v>6</v>
      </c>
    </row>
    <row r="122" customFormat="false" ht="13.8" hidden="false" customHeight="false" outlineLevel="0" collapsed="false">
      <c r="A122" s="44" t="n">
        <v>12</v>
      </c>
      <c r="B122" s="44" t="n">
        <v>7</v>
      </c>
      <c r="C122" s="47" t="n">
        <f aca="false">((A122-1)*9+(B122))/108</f>
        <v>0.981481481481482</v>
      </c>
      <c r="D122" s="47" t="n">
        <f aca="false">MIN(ABS(C122*12-0.5),12-ABS(C122*12-0.5))/6</f>
        <v>0.12037037037037</v>
      </c>
      <c r="E122" s="47" t="n">
        <f aca="false">6*D122^5-15*D122^4+10*D122^3</f>
        <v>0.0144431336575409</v>
      </c>
      <c r="F122" s="47" t="n">
        <f aca="false">E122*F$3</f>
        <v>0.469401843870079</v>
      </c>
      <c r="G122" s="47" t="n">
        <f aca="false">$F$4+F122+(-0.5*$F$10)</f>
        <v>-16.5805981561299</v>
      </c>
      <c r="H122" s="47" t="n">
        <f aca="false">$F$4+F122+(0.5*$F$10)</f>
        <v>-8.98059815612992</v>
      </c>
      <c r="J122" s="44" t="n">
        <v>-15.5</v>
      </c>
      <c r="K122" s="44" t="n">
        <v>-8.1</v>
      </c>
      <c r="L122" s="44" t="n">
        <f aca="false">G122-J122</f>
        <v>-1.08059815612992</v>
      </c>
      <c r="M122" s="44" t="n">
        <f aca="false">H122-K122</f>
        <v>-0.880598156129922</v>
      </c>
      <c r="N122" s="44" t="n">
        <v>-20.77545</v>
      </c>
      <c r="O122" s="44" t="n">
        <v>-2.7832756</v>
      </c>
      <c r="P122" s="47" t="n">
        <f aca="false">G122-N122</f>
        <v>4.19485184387008</v>
      </c>
      <c r="Q122" s="47" t="n">
        <f aca="false">H122-O122</f>
        <v>-6.19732255612992</v>
      </c>
      <c r="R122" s="47" t="n">
        <f aca="false">J122-N122</f>
        <v>5.27545</v>
      </c>
      <c r="S122" s="47" t="n">
        <f aca="false">K122-O122</f>
        <v>-5.3167244</v>
      </c>
      <c r="U122" s="44" t="n">
        <v>12</v>
      </c>
      <c r="V122" s="44" t="n">
        <v>7</v>
      </c>
    </row>
    <row r="123" customFormat="false" ht="13.8" hidden="false" customHeight="false" outlineLevel="0" collapsed="false">
      <c r="A123" s="44" t="n">
        <v>12</v>
      </c>
      <c r="B123" s="44" t="n">
        <v>8</v>
      </c>
      <c r="C123" s="47" t="n">
        <f aca="false">((A123-1)*9+(B123))/108</f>
        <v>0.990740740740741</v>
      </c>
      <c r="D123" s="47" t="n">
        <f aca="false">MIN(ABS(C123*12-0.5),12-ABS(C123*12-0.5))/6</f>
        <v>0.101851851851852</v>
      </c>
      <c r="E123" s="47" t="n">
        <f aca="false">6*D123^5-15*D123^4+10*D123^3</f>
        <v>0.0090174364794388</v>
      </c>
      <c r="F123" s="47" t="n">
        <f aca="false">E123*F$3</f>
        <v>0.293066685581761</v>
      </c>
      <c r="G123" s="47" t="n">
        <f aca="false">$F$4+F123+(-0.5*$F$10)</f>
        <v>-16.7569333144182</v>
      </c>
      <c r="H123" s="47" t="n">
        <f aca="false">$F$4+F123+(0.5*$F$10)</f>
        <v>-9.15693331441824</v>
      </c>
      <c r="J123" s="44" t="n">
        <v>-16.3</v>
      </c>
      <c r="K123" s="44" t="n">
        <v>-7.5</v>
      </c>
      <c r="L123" s="44" t="n">
        <f aca="false">G123-J123</f>
        <v>-0.456933314418237</v>
      </c>
      <c r="M123" s="44" t="n">
        <f aca="false">H123-K123</f>
        <v>-1.65693331441824</v>
      </c>
      <c r="N123" s="44" t="n">
        <v>-20.602617</v>
      </c>
      <c r="O123" s="44" t="n">
        <v>-3.1803668</v>
      </c>
      <c r="P123" s="47" t="n">
        <f aca="false">G123-N123</f>
        <v>3.84568368558176</v>
      </c>
      <c r="Q123" s="47" t="n">
        <f aca="false">H123-O123</f>
        <v>-5.97656651441824</v>
      </c>
      <c r="R123" s="47" t="n">
        <f aca="false">J123-N123</f>
        <v>4.302617</v>
      </c>
      <c r="S123" s="47" t="n">
        <f aca="false">K123-O123</f>
        <v>-4.3196332</v>
      </c>
      <c r="U123" s="44" t="n">
        <v>12</v>
      </c>
      <c r="V123" s="44" t="n">
        <v>8</v>
      </c>
    </row>
    <row r="124" customFormat="false" ht="13.8" hidden="false" customHeight="false" outlineLevel="0" collapsed="false">
      <c r="A124" s="44" t="n">
        <v>12</v>
      </c>
      <c r="B124" s="44" t="n">
        <v>9</v>
      </c>
      <c r="C124" s="47" t="n">
        <f aca="false">((A124-1)*9+(B124))/108</f>
        <v>1</v>
      </c>
      <c r="D124" s="47" t="n">
        <f aca="false">MIN(ABS(C124*12-0.5),12-ABS(C124*12-0.5))/6</f>
        <v>0.0833333333333333</v>
      </c>
      <c r="E124" s="47" t="n">
        <f aca="false">6*D124^5-15*D124^4+10*D124^3</f>
        <v>0.00508777006172839</v>
      </c>
      <c r="F124" s="47" t="n">
        <f aca="false">E124*F$3</f>
        <v>0.165352527006173</v>
      </c>
      <c r="G124" s="47" t="n">
        <f aca="false">$F$4+F124+(-0.5*$F$10)</f>
        <v>-16.8846474729938</v>
      </c>
      <c r="H124" s="47" t="n">
        <f aca="false">$F$4+F124+(0.5*$F$10)</f>
        <v>-9.28464747299383</v>
      </c>
      <c r="J124" s="44" t="n">
        <v>-17</v>
      </c>
      <c r="K124" s="44" t="n">
        <v>-7.2</v>
      </c>
      <c r="L124" s="44" t="n">
        <f aca="false">G124-J124</f>
        <v>0.115352527006173</v>
      </c>
      <c r="M124" s="44" t="n">
        <f aca="false">H124-K124</f>
        <v>-2.08464747299383</v>
      </c>
      <c r="N124" s="44" t="n">
        <v>-20.27619</v>
      </c>
      <c r="O124" s="44" t="n">
        <v>-2.2460833</v>
      </c>
      <c r="P124" s="47" t="n">
        <f aca="false">G124-N124</f>
        <v>3.39154252700617</v>
      </c>
      <c r="Q124" s="47" t="n">
        <f aca="false">H124-O124</f>
        <v>-7.03856417299383</v>
      </c>
      <c r="R124" s="47" t="n">
        <f aca="false">J124-N124</f>
        <v>3.27619</v>
      </c>
      <c r="S124" s="47" t="n">
        <f aca="false">K124-O124</f>
        <v>-4.9539167</v>
      </c>
      <c r="U124" s="44" t="n">
        <v>12</v>
      </c>
      <c r="V124" s="44" t="n">
        <v>9</v>
      </c>
    </row>
    <row r="126" customFormat="false" ht="13.8" hidden="false" customHeight="false" outlineLevel="0" collapsed="false">
      <c r="A126" s="44" t="s">
        <v>75</v>
      </c>
      <c r="B126" s="44" t="n">
        <v>1</v>
      </c>
      <c r="C126" s="44" t="n">
        <v>1</v>
      </c>
      <c r="D126" s="44" t="n">
        <v>1</v>
      </c>
      <c r="E126" s="44" t="n">
        <v>1</v>
      </c>
      <c r="F126" s="44" t="n">
        <v>1</v>
      </c>
      <c r="G126" s="44" t="n">
        <v>1</v>
      </c>
      <c r="H126" s="44" t="n">
        <v>1</v>
      </c>
      <c r="I126" s="44" t="n">
        <v>1</v>
      </c>
      <c r="J126" s="44" t="n">
        <v>1</v>
      </c>
      <c r="K126" s="44" t="n">
        <v>2</v>
      </c>
      <c r="L126" s="44" t="n">
        <v>2</v>
      </c>
      <c r="M126" s="44" t="n">
        <v>2</v>
      </c>
      <c r="N126" s="44" t="n">
        <v>2</v>
      </c>
      <c r="O126" s="44" t="n">
        <v>2</v>
      </c>
      <c r="P126" s="44" t="n">
        <v>2</v>
      </c>
      <c r="Q126" s="44" t="n">
        <v>2</v>
      </c>
      <c r="R126" s="44" t="n">
        <v>2</v>
      </c>
      <c r="S126" s="44" t="n">
        <v>2</v>
      </c>
      <c r="T126" s="44" t="n">
        <v>3</v>
      </c>
      <c r="U126" s="44" t="n">
        <v>3</v>
      </c>
      <c r="V126" s="44" t="n">
        <v>3</v>
      </c>
      <c r="W126" s="44" t="n">
        <v>3</v>
      </c>
      <c r="X126" s="44" t="n">
        <v>3</v>
      </c>
      <c r="Y126" s="44" t="n">
        <v>3</v>
      </c>
      <c r="Z126" s="44" t="n">
        <v>3</v>
      </c>
      <c r="AA126" s="44" t="n">
        <v>3</v>
      </c>
      <c r="AB126" s="44" t="n">
        <v>3</v>
      </c>
      <c r="AC126" s="44" t="n">
        <v>4</v>
      </c>
      <c r="AD126" s="44" t="n">
        <v>4</v>
      </c>
      <c r="AE126" s="44" t="n">
        <v>4</v>
      </c>
      <c r="AF126" s="44" t="n">
        <v>4</v>
      </c>
      <c r="AG126" s="44" t="n">
        <v>4</v>
      </c>
      <c r="AH126" s="44" t="n">
        <v>4</v>
      </c>
      <c r="AI126" s="44" t="n">
        <v>4</v>
      </c>
      <c r="AJ126" s="44" t="n">
        <v>4</v>
      </c>
      <c r="AK126" s="44" t="n">
        <v>4</v>
      </c>
      <c r="AL126" s="44" t="n">
        <v>5</v>
      </c>
      <c r="AM126" s="44" t="n">
        <v>5</v>
      </c>
      <c r="AN126" s="44" t="n">
        <v>5</v>
      </c>
      <c r="AO126" s="44" t="n">
        <v>5</v>
      </c>
      <c r="AP126" s="44" t="n">
        <v>5</v>
      </c>
      <c r="AQ126" s="44" t="n">
        <v>5</v>
      </c>
      <c r="AR126" s="44" t="n">
        <v>5</v>
      </c>
      <c r="AS126" s="44" t="n">
        <v>5</v>
      </c>
      <c r="AT126" s="44" t="n">
        <v>5</v>
      </c>
      <c r="AU126" s="44" t="n">
        <v>6</v>
      </c>
      <c r="AV126" s="44" t="n">
        <v>6</v>
      </c>
      <c r="AW126" s="44" t="n">
        <v>6</v>
      </c>
      <c r="AX126" s="44" t="n">
        <v>6</v>
      </c>
      <c r="AY126" s="44" t="n">
        <v>6</v>
      </c>
      <c r="AZ126" s="44" t="n">
        <v>6</v>
      </c>
      <c r="BA126" s="44" t="n">
        <v>6</v>
      </c>
      <c r="BB126" s="44" t="n">
        <v>6</v>
      </c>
      <c r="BC126" s="44" t="n">
        <v>6</v>
      </c>
      <c r="BD126" s="44" t="n">
        <v>7</v>
      </c>
      <c r="BE126" s="44" t="n">
        <v>7</v>
      </c>
      <c r="BF126" s="44" t="n">
        <v>7</v>
      </c>
      <c r="BG126" s="44" t="n">
        <v>7</v>
      </c>
      <c r="BH126" s="44" t="n">
        <v>7</v>
      </c>
      <c r="BI126" s="44" t="n">
        <v>7</v>
      </c>
      <c r="BJ126" s="44" t="n">
        <v>7</v>
      </c>
      <c r="BK126" s="44" t="n">
        <v>7</v>
      </c>
      <c r="BL126" s="44" t="n">
        <v>7</v>
      </c>
      <c r="BM126" s="44" t="n">
        <v>8</v>
      </c>
      <c r="BN126" s="44" t="n">
        <v>8</v>
      </c>
      <c r="BO126" s="44" t="n">
        <v>8</v>
      </c>
      <c r="BP126" s="44" t="n">
        <v>8</v>
      </c>
      <c r="BQ126" s="44" t="n">
        <v>8</v>
      </c>
      <c r="BR126" s="44" t="n">
        <v>8</v>
      </c>
      <c r="BS126" s="44" t="n">
        <v>8</v>
      </c>
      <c r="BT126" s="44" t="n">
        <v>8</v>
      </c>
      <c r="BU126" s="44" t="n">
        <v>8</v>
      </c>
      <c r="BV126" s="44" t="n">
        <v>9</v>
      </c>
      <c r="BW126" s="44" t="n">
        <v>9</v>
      </c>
      <c r="BX126" s="44" t="n">
        <v>9</v>
      </c>
      <c r="BY126" s="44" t="n">
        <v>9</v>
      </c>
      <c r="BZ126" s="44" t="n">
        <v>9</v>
      </c>
      <c r="CA126" s="44" t="n">
        <v>9</v>
      </c>
      <c r="CB126" s="44" t="n">
        <v>9</v>
      </c>
      <c r="CC126" s="44" t="n">
        <v>9</v>
      </c>
      <c r="CD126" s="44" t="n">
        <v>9</v>
      </c>
      <c r="CE126" s="44" t="n">
        <v>10</v>
      </c>
      <c r="CF126" s="44" t="n">
        <v>10</v>
      </c>
      <c r="CG126" s="44" t="n">
        <v>10</v>
      </c>
      <c r="CH126" s="44" t="n">
        <v>10</v>
      </c>
      <c r="CI126" s="44" t="n">
        <v>10</v>
      </c>
      <c r="CJ126" s="44" t="n">
        <v>10</v>
      </c>
      <c r="CK126" s="44" t="n">
        <v>10</v>
      </c>
      <c r="CL126" s="44" t="n">
        <v>10</v>
      </c>
      <c r="CM126" s="44" t="n">
        <v>10</v>
      </c>
      <c r="CN126" s="44" t="n">
        <v>11</v>
      </c>
      <c r="CO126" s="44" t="n">
        <v>11</v>
      </c>
      <c r="CP126" s="44" t="n">
        <v>11</v>
      </c>
      <c r="CQ126" s="44" t="n">
        <v>11</v>
      </c>
      <c r="CR126" s="44" t="n">
        <v>11</v>
      </c>
      <c r="CS126" s="44" t="n">
        <v>11</v>
      </c>
      <c r="CT126" s="44" t="n">
        <v>11</v>
      </c>
      <c r="CU126" s="44" t="n">
        <v>11</v>
      </c>
      <c r="CV126" s="44" t="n">
        <v>11</v>
      </c>
      <c r="CW126" s="44" t="n">
        <v>12</v>
      </c>
      <c r="CX126" s="44" t="n">
        <v>12</v>
      </c>
      <c r="CY126" s="44" t="n">
        <v>12</v>
      </c>
      <c r="CZ126" s="44" t="n">
        <v>12</v>
      </c>
      <c r="DA126" s="44" t="n">
        <v>12</v>
      </c>
      <c r="DB126" s="44" t="n">
        <v>12</v>
      </c>
      <c r="DC126" s="44" t="n">
        <v>12</v>
      </c>
      <c r="DD126" s="44" t="n">
        <v>12</v>
      </c>
      <c r="DE126" s="44" t="n">
        <v>12</v>
      </c>
    </row>
    <row r="127" customFormat="false" ht="13.8" hidden="false" customHeight="false" outlineLevel="0" collapsed="false">
      <c r="A127" s="44" t="s">
        <v>76</v>
      </c>
      <c r="B127" s="44" t="n">
        <v>1</v>
      </c>
      <c r="C127" s="44" t="n">
        <v>2</v>
      </c>
      <c r="D127" s="44" t="n">
        <v>3</v>
      </c>
      <c r="E127" s="44" t="n">
        <v>4</v>
      </c>
      <c r="F127" s="44" t="n">
        <v>5</v>
      </c>
      <c r="G127" s="44" t="n">
        <v>6</v>
      </c>
      <c r="H127" s="44" t="n">
        <v>7</v>
      </c>
      <c r="I127" s="44" t="n">
        <v>8</v>
      </c>
      <c r="J127" s="44" t="n">
        <v>9</v>
      </c>
      <c r="K127" s="44" t="n">
        <v>1</v>
      </c>
      <c r="L127" s="44" t="n">
        <v>2</v>
      </c>
      <c r="M127" s="44" t="n">
        <v>3</v>
      </c>
      <c r="N127" s="44" t="n">
        <v>4</v>
      </c>
      <c r="O127" s="44" t="n">
        <v>5</v>
      </c>
      <c r="P127" s="44" t="n">
        <v>6</v>
      </c>
      <c r="Q127" s="44" t="n">
        <v>7</v>
      </c>
      <c r="R127" s="44" t="n">
        <v>8</v>
      </c>
      <c r="S127" s="44" t="n">
        <v>9</v>
      </c>
      <c r="T127" s="44" t="n">
        <v>1</v>
      </c>
      <c r="U127" s="44" t="n">
        <v>2</v>
      </c>
      <c r="V127" s="44" t="n">
        <v>3</v>
      </c>
      <c r="W127" s="44" t="n">
        <v>4</v>
      </c>
      <c r="X127" s="44" t="n">
        <v>5</v>
      </c>
      <c r="Y127" s="44" t="n">
        <v>6</v>
      </c>
      <c r="Z127" s="44" t="n">
        <v>7</v>
      </c>
      <c r="AA127" s="44" t="n">
        <v>8</v>
      </c>
      <c r="AB127" s="44" t="n">
        <v>9</v>
      </c>
      <c r="AC127" s="44" t="n">
        <v>1</v>
      </c>
      <c r="AD127" s="44" t="n">
        <v>2</v>
      </c>
      <c r="AE127" s="44" t="n">
        <v>3</v>
      </c>
      <c r="AF127" s="44" t="n">
        <v>4</v>
      </c>
      <c r="AG127" s="44" t="n">
        <v>5</v>
      </c>
      <c r="AH127" s="44" t="n">
        <v>6</v>
      </c>
      <c r="AI127" s="44" t="n">
        <v>7</v>
      </c>
      <c r="AJ127" s="44" t="n">
        <v>8</v>
      </c>
      <c r="AK127" s="44" t="n">
        <v>9</v>
      </c>
      <c r="AL127" s="44" t="n">
        <v>1</v>
      </c>
      <c r="AM127" s="44" t="n">
        <v>2</v>
      </c>
      <c r="AN127" s="44" t="n">
        <v>3</v>
      </c>
      <c r="AO127" s="44" t="n">
        <v>4</v>
      </c>
      <c r="AP127" s="44" t="n">
        <v>5</v>
      </c>
      <c r="AQ127" s="44" t="n">
        <v>6</v>
      </c>
      <c r="AR127" s="44" t="n">
        <v>7</v>
      </c>
      <c r="AS127" s="44" t="n">
        <v>8</v>
      </c>
      <c r="AT127" s="44" t="n">
        <v>9</v>
      </c>
      <c r="AU127" s="44" t="n">
        <v>1</v>
      </c>
      <c r="AV127" s="44" t="n">
        <v>2</v>
      </c>
      <c r="AW127" s="44" t="n">
        <v>3</v>
      </c>
      <c r="AX127" s="44" t="n">
        <v>4</v>
      </c>
      <c r="AY127" s="44" t="n">
        <v>5</v>
      </c>
      <c r="AZ127" s="44" t="n">
        <v>6</v>
      </c>
      <c r="BA127" s="44" t="n">
        <v>7</v>
      </c>
      <c r="BB127" s="44" t="n">
        <v>8</v>
      </c>
      <c r="BC127" s="44" t="n">
        <v>9</v>
      </c>
      <c r="BD127" s="44" t="n">
        <v>1</v>
      </c>
      <c r="BE127" s="44" t="n">
        <v>2</v>
      </c>
      <c r="BF127" s="44" t="n">
        <v>3</v>
      </c>
      <c r="BG127" s="44" t="n">
        <v>4</v>
      </c>
      <c r="BH127" s="44" t="n">
        <v>5</v>
      </c>
      <c r="BI127" s="44" t="n">
        <v>6</v>
      </c>
      <c r="BJ127" s="44" t="n">
        <v>7</v>
      </c>
      <c r="BK127" s="44" t="n">
        <v>8</v>
      </c>
      <c r="BL127" s="44" t="n">
        <v>9</v>
      </c>
      <c r="BM127" s="44" t="n">
        <v>1</v>
      </c>
      <c r="BN127" s="44" t="n">
        <v>2</v>
      </c>
      <c r="BO127" s="44" t="n">
        <v>3</v>
      </c>
      <c r="BP127" s="44" t="n">
        <v>4</v>
      </c>
      <c r="BQ127" s="44" t="n">
        <v>5</v>
      </c>
      <c r="BR127" s="44" t="n">
        <v>6</v>
      </c>
      <c r="BS127" s="44" t="n">
        <v>7</v>
      </c>
      <c r="BT127" s="44" t="n">
        <v>8</v>
      </c>
      <c r="BU127" s="44" t="n">
        <v>9</v>
      </c>
      <c r="BV127" s="44" t="n">
        <v>1</v>
      </c>
      <c r="BW127" s="44" t="n">
        <v>2</v>
      </c>
      <c r="BX127" s="44" t="n">
        <v>3</v>
      </c>
      <c r="BY127" s="44" t="n">
        <v>4</v>
      </c>
      <c r="BZ127" s="44" t="n">
        <v>5</v>
      </c>
      <c r="CA127" s="44" t="n">
        <v>6</v>
      </c>
      <c r="CB127" s="44" t="n">
        <v>7</v>
      </c>
      <c r="CC127" s="44" t="n">
        <v>8</v>
      </c>
      <c r="CD127" s="44" t="n">
        <v>9</v>
      </c>
      <c r="CE127" s="44" t="n">
        <v>1</v>
      </c>
      <c r="CF127" s="44" t="n">
        <v>2</v>
      </c>
      <c r="CG127" s="44" t="n">
        <v>3</v>
      </c>
      <c r="CH127" s="44" t="n">
        <v>4</v>
      </c>
      <c r="CI127" s="44" t="n">
        <v>5</v>
      </c>
      <c r="CJ127" s="44" t="n">
        <v>6</v>
      </c>
      <c r="CK127" s="44" t="n">
        <v>7</v>
      </c>
      <c r="CL127" s="44" t="n">
        <v>8</v>
      </c>
      <c r="CM127" s="44" t="n">
        <v>9</v>
      </c>
      <c r="CN127" s="44" t="n">
        <v>1</v>
      </c>
      <c r="CO127" s="44" t="n">
        <v>2</v>
      </c>
      <c r="CP127" s="44" t="n">
        <v>3</v>
      </c>
      <c r="CQ127" s="44" t="n">
        <v>4</v>
      </c>
      <c r="CR127" s="44" t="n">
        <v>5</v>
      </c>
      <c r="CS127" s="44" t="n">
        <v>6</v>
      </c>
      <c r="CT127" s="44" t="n">
        <v>7</v>
      </c>
      <c r="CU127" s="44" t="n">
        <v>8</v>
      </c>
      <c r="CV127" s="44" t="n">
        <v>9</v>
      </c>
      <c r="CW127" s="44" t="n">
        <v>1</v>
      </c>
      <c r="CX127" s="44" t="n">
        <v>2</v>
      </c>
      <c r="CY127" s="44" t="n">
        <v>3</v>
      </c>
      <c r="CZ127" s="44" t="n">
        <v>4</v>
      </c>
      <c r="DA127" s="44" t="n">
        <v>5</v>
      </c>
      <c r="DB127" s="44" t="n">
        <v>6</v>
      </c>
      <c r="DC127" s="44" t="n">
        <v>7</v>
      </c>
      <c r="DD127" s="44" t="n">
        <v>8</v>
      </c>
      <c r="DE127" s="44" t="n">
        <v>9</v>
      </c>
    </row>
    <row r="128" customFormat="false" ht="13.8" hidden="false" customHeight="false" outlineLevel="0" collapsed="false">
      <c r="A128" s="44" t="s">
        <v>66</v>
      </c>
      <c r="B128" s="47" t="n">
        <f aca="false">((B126-1)*9+(B127))/108</f>
        <v>0.00925925925925926</v>
      </c>
      <c r="C128" s="47" t="n">
        <f aca="false">((C126-1)*9+(C127))/108</f>
        <v>0.0185185185185185</v>
      </c>
      <c r="D128" s="47" t="n">
        <f aca="false">((D126-1)*9+(D127))/108</f>
        <v>0.0277777777777778</v>
      </c>
      <c r="E128" s="47" t="n">
        <f aca="false">((E126-1)*9+(E127))/108</f>
        <v>0.037037037037037</v>
      </c>
      <c r="F128" s="47" t="n">
        <f aca="false">((F126-1)*9+(F127))/108</f>
        <v>0.0462962962962963</v>
      </c>
      <c r="G128" s="47" t="n">
        <f aca="false">((G126-1)*9+(G127))/108</f>
        <v>0.0555555555555556</v>
      </c>
      <c r="H128" s="47" t="n">
        <f aca="false">((H126-1)*9+(H127))/108</f>
        <v>0.0648148148148148</v>
      </c>
      <c r="I128" s="47" t="n">
        <f aca="false">((I126-1)*9+(I127))/108</f>
        <v>0.0740740740740741</v>
      </c>
      <c r="J128" s="47" t="n">
        <f aca="false">((J126-1)*9+(J127))/108</f>
        <v>0.0833333333333333</v>
      </c>
      <c r="K128" s="47" t="n">
        <f aca="false">((K126-1)*9+(K127))/108</f>
        <v>0.0925925925925926</v>
      </c>
      <c r="L128" s="47" t="n">
        <f aca="false">((L126-1)*9+(L127))/108</f>
        <v>0.101851851851852</v>
      </c>
      <c r="M128" s="47" t="n">
        <f aca="false">((M126-1)*9+(M127))/108</f>
        <v>0.111111111111111</v>
      </c>
      <c r="N128" s="47" t="n">
        <f aca="false">((N126-1)*9+(N127))/108</f>
        <v>0.12037037037037</v>
      </c>
      <c r="O128" s="47" t="n">
        <f aca="false">((O126-1)*9+(O127))/108</f>
        <v>0.12962962962963</v>
      </c>
      <c r="P128" s="47" t="n">
        <f aca="false">((P126-1)*9+(P127))/108</f>
        <v>0.138888888888889</v>
      </c>
      <c r="Q128" s="47" t="n">
        <f aca="false">((Q126-1)*9+(Q127))/108</f>
        <v>0.148148148148148</v>
      </c>
      <c r="R128" s="47" t="n">
        <f aca="false">((R126-1)*9+(R127))/108</f>
        <v>0.157407407407407</v>
      </c>
      <c r="S128" s="47" t="n">
        <f aca="false">((S126-1)*9+(S127))/108</f>
        <v>0.166666666666667</v>
      </c>
      <c r="T128" s="47" t="n">
        <f aca="false">((T126-1)*9+(T127))/108</f>
        <v>0.175925925925926</v>
      </c>
      <c r="U128" s="47" t="n">
        <f aca="false">((U126-1)*9+(U127))/108</f>
        <v>0.185185185185185</v>
      </c>
      <c r="V128" s="47" t="n">
        <f aca="false">((V126-1)*9+(V127))/108</f>
        <v>0.194444444444444</v>
      </c>
      <c r="W128" s="47" t="n">
        <f aca="false">((W126-1)*9+(W127))/108</f>
        <v>0.203703703703704</v>
      </c>
      <c r="X128" s="47" t="n">
        <f aca="false">((X126-1)*9+(X127))/108</f>
        <v>0.212962962962963</v>
      </c>
      <c r="Y128" s="47" t="n">
        <f aca="false">((Y126-1)*9+(Y127))/108</f>
        <v>0.222222222222222</v>
      </c>
      <c r="Z128" s="47" t="n">
        <f aca="false">((Z126-1)*9+(Z127))/108</f>
        <v>0.231481481481481</v>
      </c>
      <c r="AA128" s="47" t="n">
        <f aca="false">((AA126-1)*9+(AA127))/108</f>
        <v>0.240740740740741</v>
      </c>
      <c r="AB128" s="47" t="n">
        <f aca="false">((AB126-1)*9+(AB127))/108</f>
        <v>0.25</v>
      </c>
      <c r="AC128" s="47" t="n">
        <f aca="false">((AC126-1)*9+(AC127))/108</f>
        <v>0.259259259259259</v>
      </c>
      <c r="AD128" s="47" t="n">
        <f aca="false">((AD126-1)*9+(AD127))/108</f>
        <v>0.268518518518519</v>
      </c>
      <c r="AE128" s="47" t="n">
        <f aca="false">((AE126-1)*9+(AE127))/108</f>
        <v>0.277777777777778</v>
      </c>
      <c r="AF128" s="47" t="n">
        <f aca="false">((AF126-1)*9+(AF127))/108</f>
        <v>0.287037037037037</v>
      </c>
      <c r="AG128" s="47" t="n">
        <f aca="false">((AG126-1)*9+(AG127))/108</f>
        <v>0.296296296296296</v>
      </c>
      <c r="AH128" s="47" t="n">
        <f aca="false">((AH126-1)*9+(AH127))/108</f>
        <v>0.305555555555556</v>
      </c>
      <c r="AI128" s="47" t="n">
        <f aca="false">((AI126-1)*9+(AI127))/108</f>
        <v>0.314814814814815</v>
      </c>
      <c r="AJ128" s="47" t="n">
        <f aca="false">((AJ126-1)*9+(AJ127))/108</f>
        <v>0.324074074074074</v>
      </c>
      <c r="AK128" s="47" t="n">
        <f aca="false">((AK126-1)*9+(AK127))/108</f>
        <v>0.333333333333333</v>
      </c>
      <c r="AL128" s="47" t="n">
        <f aca="false">((AL126-1)*9+(AL127))/108</f>
        <v>0.342592592592593</v>
      </c>
      <c r="AM128" s="47" t="n">
        <f aca="false">((AM126-1)*9+(AM127))/108</f>
        <v>0.351851851851852</v>
      </c>
      <c r="AN128" s="47" t="n">
        <f aca="false">((AN126-1)*9+(AN127))/108</f>
        <v>0.361111111111111</v>
      </c>
      <c r="AO128" s="47" t="n">
        <f aca="false">((AO126-1)*9+(AO127))/108</f>
        <v>0.37037037037037</v>
      </c>
      <c r="AP128" s="47" t="n">
        <f aca="false">((AP126-1)*9+(AP127))/108</f>
        <v>0.37962962962963</v>
      </c>
      <c r="AQ128" s="47" t="n">
        <f aca="false">((AQ126-1)*9+(AQ127))/108</f>
        <v>0.388888888888889</v>
      </c>
      <c r="AR128" s="47" t="n">
        <f aca="false">((AR126-1)*9+(AR127))/108</f>
        <v>0.398148148148148</v>
      </c>
      <c r="AS128" s="47" t="n">
        <f aca="false">((AS126-1)*9+(AS127))/108</f>
        <v>0.407407407407407</v>
      </c>
      <c r="AT128" s="47" t="n">
        <f aca="false">((AT126-1)*9+(AT127))/108</f>
        <v>0.416666666666667</v>
      </c>
      <c r="AU128" s="47" t="n">
        <f aca="false">((AU126-1)*9+(AU127))/108</f>
        <v>0.425925925925926</v>
      </c>
      <c r="AV128" s="47" t="n">
        <f aca="false">((AV126-1)*9+(AV127))/108</f>
        <v>0.435185185185185</v>
      </c>
      <c r="AW128" s="47" t="n">
        <f aca="false">((AW126-1)*9+(AW127))/108</f>
        <v>0.444444444444444</v>
      </c>
      <c r="AX128" s="47" t="n">
        <f aca="false">((AX126-1)*9+(AX127))/108</f>
        <v>0.453703703703704</v>
      </c>
      <c r="AY128" s="47" t="n">
        <f aca="false">((AY126-1)*9+(AY127))/108</f>
        <v>0.462962962962963</v>
      </c>
      <c r="AZ128" s="47" t="n">
        <f aca="false">((AZ126-1)*9+(AZ127))/108</f>
        <v>0.472222222222222</v>
      </c>
      <c r="BA128" s="47" t="n">
        <f aca="false">((BA126-1)*9+(BA127))/108</f>
        <v>0.481481481481481</v>
      </c>
      <c r="BB128" s="47" t="n">
        <f aca="false">((BB126-1)*9+(BB127))/108</f>
        <v>0.490740740740741</v>
      </c>
      <c r="BC128" s="47" t="n">
        <f aca="false">((BC126-1)*9+(BC127))/108</f>
        <v>0.5</v>
      </c>
      <c r="BD128" s="47" t="n">
        <f aca="false">((BD126-1)*9+(BD127))/108</f>
        <v>0.509259259259259</v>
      </c>
      <c r="BE128" s="47" t="n">
        <f aca="false">((BE126-1)*9+(BE127))/108</f>
        <v>0.518518518518518</v>
      </c>
      <c r="BF128" s="47" t="n">
        <f aca="false">((BF126-1)*9+(BF127))/108</f>
        <v>0.527777777777778</v>
      </c>
      <c r="BG128" s="47" t="n">
        <f aca="false">((BG126-1)*9+(BG127))/108</f>
        <v>0.537037037037037</v>
      </c>
      <c r="BH128" s="47" t="n">
        <f aca="false">((BH126-1)*9+(BH127))/108</f>
        <v>0.546296296296296</v>
      </c>
      <c r="BI128" s="47" t="n">
        <f aca="false">((BI126-1)*9+(BI127))/108</f>
        <v>0.555555555555556</v>
      </c>
      <c r="BJ128" s="47" t="n">
        <f aca="false">((BJ126-1)*9+(BJ127))/108</f>
        <v>0.564814814814815</v>
      </c>
      <c r="BK128" s="47" t="n">
        <f aca="false">((BK126-1)*9+(BK127))/108</f>
        <v>0.574074074074074</v>
      </c>
      <c r="BL128" s="47" t="n">
        <f aca="false">((BL126-1)*9+(BL127))/108</f>
        <v>0.583333333333333</v>
      </c>
      <c r="BM128" s="47" t="n">
        <f aca="false">((BM126-1)*9+(BM127))/108</f>
        <v>0.592592592592593</v>
      </c>
      <c r="BN128" s="47" t="n">
        <f aca="false">((BN126-1)*9+(BN127))/108</f>
        <v>0.601851851851852</v>
      </c>
      <c r="BO128" s="47" t="n">
        <f aca="false">((BO126-1)*9+(BO127))/108</f>
        <v>0.611111111111111</v>
      </c>
      <c r="BP128" s="47" t="n">
        <f aca="false">((BP126-1)*9+(BP127))/108</f>
        <v>0.62037037037037</v>
      </c>
      <c r="BQ128" s="47" t="n">
        <f aca="false">((BQ126-1)*9+(BQ127))/108</f>
        <v>0.62962962962963</v>
      </c>
      <c r="BR128" s="47" t="n">
        <f aca="false">((BR126-1)*9+(BR127))/108</f>
        <v>0.638888888888889</v>
      </c>
      <c r="BS128" s="47" t="n">
        <f aca="false">((BS126-1)*9+(BS127))/108</f>
        <v>0.648148148148148</v>
      </c>
      <c r="BT128" s="47" t="n">
        <f aca="false">((BT126-1)*9+(BT127))/108</f>
        <v>0.657407407407407</v>
      </c>
      <c r="BU128" s="47" t="n">
        <f aca="false">((BU126-1)*9+(BU127))/108</f>
        <v>0.666666666666667</v>
      </c>
      <c r="BV128" s="47" t="n">
        <f aca="false">((BV126-1)*9+(BV127))/108</f>
        <v>0.675925925925926</v>
      </c>
      <c r="BW128" s="47" t="n">
        <f aca="false">((BW126-1)*9+(BW127))/108</f>
        <v>0.685185185185185</v>
      </c>
      <c r="BX128" s="47" t="n">
        <f aca="false">((BX126-1)*9+(BX127))/108</f>
        <v>0.694444444444444</v>
      </c>
      <c r="BY128" s="47" t="n">
        <f aca="false">((BY126-1)*9+(BY127))/108</f>
        <v>0.703703703703704</v>
      </c>
      <c r="BZ128" s="47" t="n">
        <f aca="false">((BZ126-1)*9+(BZ127))/108</f>
        <v>0.712962962962963</v>
      </c>
      <c r="CA128" s="47" t="n">
        <f aca="false">((CA126-1)*9+(CA127))/108</f>
        <v>0.722222222222222</v>
      </c>
      <c r="CB128" s="47" t="n">
        <f aca="false">((CB126-1)*9+(CB127))/108</f>
        <v>0.731481481481482</v>
      </c>
      <c r="CC128" s="47" t="n">
        <f aca="false">((CC126-1)*9+(CC127))/108</f>
        <v>0.740740740740741</v>
      </c>
      <c r="CD128" s="47" t="n">
        <f aca="false">((CD126-1)*9+(CD127))/108</f>
        <v>0.75</v>
      </c>
      <c r="CE128" s="47" t="n">
        <f aca="false">((CE126-1)*9+(CE127))/108</f>
        <v>0.759259259259259</v>
      </c>
      <c r="CF128" s="47" t="n">
        <f aca="false">((CF126-1)*9+(CF127))/108</f>
        <v>0.768518518518518</v>
      </c>
      <c r="CG128" s="47" t="n">
        <f aca="false">((CG126-1)*9+(CG127))/108</f>
        <v>0.777777777777778</v>
      </c>
      <c r="CH128" s="47" t="n">
        <f aca="false">((CH126-1)*9+(CH127))/108</f>
        <v>0.787037037037037</v>
      </c>
      <c r="CI128" s="47" t="n">
        <f aca="false">((CI126-1)*9+(CI127))/108</f>
        <v>0.796296296296296</v>
      </c>
      <c r="CJ128" s="47" t="n">
        <f aca="false">((CJ126-1)*9+(CJ127))/108</f>
        <v>0.805555555555556</v>
      </c>
      <c r="CK128" s="47" t="n">
        <f aca="false">((CK126-1)*9+(CK127))/108</f>
        <v>0.814814814814815</v>
      </c>
      <c r="CL128" s="47" t="n">
        <f aca="false">((CL126-1)*9+(CL127))/108</f>
        <v>0.824074074074074</v>
      </c>
      <c r="CM128" s="47" t="n">
        <f aca="false">((CM126-1)*9+(CM127))/108</f>
        <v>0.833333333333333</v>
      </c>
      <c r="CN128" s="47" t="n">
        <f aca="false">((CN126-1)*9+(CN127))/108</f>
        <v>0.842592592592593</v>
      </c>
      <c r="CO128" s="47" t="n">
        <f aca="false">((CO126-1)*9+(CO127))/108</f>
        <v>0.851851851851852</v>
      </c>
      <c r="CP128" s="47" t="n">
        <f aca="false">((CP126-1)*9+(CP127))/108</f>
        <v>0.861111111111111</v>
      </c>
      <c r="CQ128" s="47" t="n">
        <f aca="false">((CQ126-1)*9+(CQ127))/108</f>
        <v>0.87037037037037</v>
      </c>
      <c r="CR128" s="47" t="n">
        <f aca="false">((CR126-1)*9+(CR127))/108</f>
        <v>0.87962962962963</v>
      </c>
      <c r="CS128" s="47" t="n">
        <f aca="false">((CS126-1)*9+(CS127))/108</f>
        <v>0.888888888888889</v>
      </c>
      <c r="CT128" s="47" t="n">
        <f aca="false">((CT126-1)*9+(CT127))/108</f>
        <v>0.898148148148148</v>
      </c>
      <c r="CU128" s="47" t="n">
        <f aca="false">((CU126-1)*9+(CU127))/108</f>
        <v>0.907407407407407</v>
      </c>
      <c r="CV128" s="47" t="n">
        <f aca="false">((CV126-1)*9+(CV127))/108</f>
        <v>0.916666666666667</v>
      </c>
      <c r="CW128" s="47" t="n">
        <f aca="false">((CW126-1)*9+(CW127))/108</f>
        <v>0.925925925925926</v>
      </c>
      <c r="CX128" s="47" t="n">
        <f aca="false">((CX126-1)*9+(CX127))/108</f>
        <v>0.935185185185185</v>
      </c>
      <c r="CY128" s="47" t="n">
        <f aca="false">((CY126-1)*9+(CY127))/108</f>
        <v>0.944444444444444</v>
      </c>
      <c r="CZ128" s="47" t="n">
        <f aca="false">((CZ126-1)*9+(CZ127))/108</f>
        <v>0.953703703703704</v>
      </c>
      <c r="DA128" s="47" t="n">
        <f aca="false">((DA126-1)*9+(DA127))/108</f>
        <v>0.962962962962963</v>
      </c>
      <c r="DB128" s="47" t="n">
        <f aca="false">((DB126-1)*9+(DB127))/108</f>
        <v>0.972222222222222</v>
      </c>
      <c r="DC128" s="47" t="n">
        <f aca="false">((DC126-1)*9+(DC127))/108</f>
        <v>0.981481481481482</v>
      </c>
      <c r="DD128" s="47" t="n">
        <f aca="false">((DD126-1)*9+(DD127))/108</f>
        <v>0.990740740740741</v>
      </c>
      <c r="DE128" s="47" t="n">
        <f aca="false">((DE126-1)*9+(DE127))/108</f>
        <v>1</v>
      </c>
    </row>
    <row r="129" customFormat="false" ht="13.8" hidden="false" customHeight="false" outlineLevel="0" collapsed="false">
      <c r="A129" s="44" t="s">
        <v>77</v>
      </c>
      <c r="B129" s="47" t="n">
        <f aca="false">MIN(ABS(B128*12-0.5),12-ABS(B128*12-0.5))/6</f>
        <v>0.0648148148148148</v>
      </c>
      <c r="C129" s="47" t="n">
        <f aca="false">MIN(ABS(C128*12-0.5),12-ABS(C128*12-0.5))/6</f>
        <v>0.0462962962962963</v>
      </c>
      <c r="D129" s="47" t="n">
        <f aca="false">MIN(ABS(D128*12-0.5),12-ABS(D128*12-0.5))/6</f>
        <v>0.0277777777777778</v>
      </c>
      <c r="E129" s="47" t="n">
        <f aca="false">MIN(ABS(E128*12-0.5),12-ABS(E128*12-0.5))/6</f>
        <v>0.00925925925925926</v>
      </c>
      <c r="F129" s="47" t="n">
        <f aca="false">MIN(ABS(F128*12-0.5),12-ABS(F128*12-0.5))/6</f>
        <v>0.00925925925925926</v>
      </c>
      <c r="G129" s="47" t="n">
        <f aca="false">MIN(ABS(G128*12-0.5),12-ABS(G128*12-0.5))/6</f>
        <v>0.0277777777777778</v>
      </c>
      <c r="H129" s="47" t="n">
        <f aca="false">MIN(ABS(H128*12-0.5),12-ABS(H128*12-0.5))/6</f>
        <v>0.0462962962962963</v>
      </c>
      <c r="I129" s="47" t="n">
        <f aca="false">MIN(ABS(I128*12-0.5),12-ABS(I128*12-0.5))/6</f>
        <v>0.0648148148148148</v>
      </c>
      <c r="J129" s="47" t="n">
        <f aca="false">MIN(ABS(J128*12-0.5),12-ABS(J128*12-0.5))/6</f>
        <v>0.0833333333333333</v>
      </c>
      <c r="K129" s="47" t="n">
        <f aca="false">MIN(ABS(K128*12-0.5),12-ABS(K128*12-0.5))/6</f>
        <v>0.101851851851852</v>
      </c>
      <c r="L129" s="47" t="n">
        <f aca="false">MIN(ABS(L128*12-0.5),12-ABS(L128*12-0.5))/6</f>
        <v>0.12037037037037</v>
      </c>
      <c r="M129" s="47" t="n">
        <f aca="false">MIN(ABS(M128*12-0.5),12-ABS(M128*12-0.5))/6</f>
        <v>0.138888888888889</v>
      </c>
      <c r="N129" s="47" t="n">
        <f aca="false">MIN(ABS(N128*12-0.5),12-ABS(N128*12-0.5))/6</f>
        <v>0.157407407407407</v>
      </c>
      <c r="O129" s="47" t="n">
        <f aca="false">MIN(ABS(O128*12-0.5),12-ABS(O128*12-0.5))/6</f>
        <v>0.175925925925926</v>
      </c>
      <c r="P129" s="47" t="n">
        <f aca="false">MIN(ABS(P128*12-0.5),12-ABS(P128*12-0.5))/6</f>
        <v>0.194444444444444</v>
      </c>
      <c r="Q129" s="47" t="n">
        <f aca="false">MIN(ABS(Q128*12-0.5),12-ABS(Q128*12-0.5))/6</f>
        <v>0.212962962962963</v>
      </c>
      <c r="R129" s="47" t="n">
        <f aca="false">MIN(ABS(R128*12-0.5),12-ABS(R128*12-0.5))/6</f>
        <v>0.231481481481481</v>
      </c>
      <c r="S129" s="47" t="n">
        <f aca="false">MIN(ABS(S128*12-0.5),12-ABS(S128*12-0.5))/6</f>
        <v>0.25</v>
      </c>
      <c r="T129" s="47" t="n">
        <f aca="false">MIN(ABS(T128*12-0.5),12-ABS(T128*12-0.5))/6</f>
        <v>0.268518518518519</v>
      </c>
      <c r="U129" s="47" t="n">
        <f aca="false">MIN(ABS(U128*12-0.5),12-ABS(U128*12-0.5))/6</f>
        <v>0.287037037037037</v>
      </c>
      <c r="V129" s="47" t="n">
        <f aca="false">MIN(ABS(V128*12-0.5),12-ABS(V128*12-0.5))/6</f>
        <v>0.305555555555556</v>
      </c>
      <c r="W129" s="47" t="n">
        <f aca="false">MIN(ABS(W128*12-0.5),12-ABS(W128*12-0.5))/6</f>
        <v>0.324074074074074</v>
      </c>
      <c r="X129" s="47" t="n">
        <f aca="false">MIN(ABS(X128*12-0.5),12-ABS(X128*12-0.5))/6</f>
        <v>0.342592592592593</v>
      </c>
      <c r="Y129" s="47" t="n">
        <f aca="false">MIN(ABS(Y128*12-0.5),12-ABS(Y128*12-0.5))/6</f>
        <v>0.361111111111111</v>
      </c>
      <c r="Z129" s="47" t="n">
        <f aca="false">MIN(ABS(Z128*12-0.5),12-ABS(Z128*12-0.5))/6</f>
        <v>0.37962962962963</v>
      </c>
      <c r="AA129" s="47" t="n">
        <f aca="false">MIN(ABS(AA128*12-0.5),12-ABS(AA128*12-0.5))/6</f>
        <v>0.398148148148148</v>
      </c>
      <c r="AB129" s="47" t="n">
        <f aca="false">MIN(ABS(AB128*12-0.5),12-ABS(AB128*12-0.5))/6</f>
        <v>0.416666666666667</v>
      </c>
      <c r="AC129" s="47" t="n">
        <f aca="false">MIN(ABS(AC128*12-0.5),12-ABS(AC128*12-0.5))/6</f>
        <v>0.435185185185185</v>
      </c>
      <c r="AD129" s="47" t="n">
        <f aca="false">MIN(ABS(AD128*12-0.5),12-ABS(AD128*12-0.5))/6</f>
        <v>0.453703703703704</v>
      </c>
      <c r="AE129" s="47" t="n">
        <f aca="false">MIN(ABS(AE128*12-0.5),12-ABS(AE128*12-0.5))/6</f>
        <v>0.472222222222222</v>
      </c>
      <c r="AF129" s="47" t="n">
        <f aca="false">MIN(ABS(AF128*12-0.5),12-ABS(AF128*12-0.5))/6</f>
        <v>0.490740740740741</v>
      </c>
      <c r="AG129" s="47" t="n">
        <f aca="false">MIN(ABS(AG128*12-0.5),12-ABS(AG128*12-0.5))/6</f>
        <v>0.509259259259259</v>
      </c>
      <c r="AH129" s="47" t="n">
        <f aca="false">MIN(ABS(AH128*12-0.5),12-ABS(AH128*12-0.5))/6</f>
        <v>0.527777777777778</v>
      </c>
      <c r="AI129" s="47" t="n">
        <f aca="false">MIN(ABS(AI128*12-0.5),12-ABS(AI128*12-0.5))/6</f>
        <v>0.546296296296296</v>
      </c>
      <c r="AJ129" s="47" t="n">
        <f aca="false">MIN(ABS(AJ128*12-0.5),12-ABS(AJ128*12-0.5))/6</f>
        <v>0.564814814814815</v>
      </c>
      <c r="AK129" s="47" t="n">
        <f aca="false">MIN(ABS(AK128*12-0.5),12-ABS(AK128*12-0.5))/6</f>
        <v>0.583333333333333</v>
      </c>
      <c r="AL129" s="47" t="n">
        <f aca="false">MIN(ABS(AL128*12-0.5),12-ABS(AL128*12-0.5))/6</f>
        <v>0.601851851851852</v>
      </c>
      <c r="AM129" s="47" t="n">
        <f aca="false">MIN(ABS(AM128*12-0.5),12-ABS(AM128*12-0.5))/6</f>
        <v>0.62037037037037</v>
      </c>
      <c r="AN129" s="47" t="n">
        <f aca="false">MIN(ABS(AN128*12-0.5),12-ABS(AN128*12-0.5))/6</f>
        <v>0.638888888888889</v>
      </c>
      <c r="AO129" s="47" t="n">
        <f aca="false">MIN(ABS(AO128*12-0.5),12-ABS(AO128*12-0.5))/6</f>
        <v>0.657407407407407</v>
      </c>
      <c r="AP129" s="47" t="n">
        <f aca="false">MIN(ABS(AP128*12-0.5),12-ABS(AP128*12-0.5))/6</f>
        <v>0.675925925925926</v>
      </c>
      <c r="AQ129" s="47" t="n">
        <f aca="false">MIN(ABS(AQ128*12-0.5),12-ABS(AQ128*12-0.5))/6</f>
        <v>0.694444444444444</v>
      </c>
      <c r="AR129" s="47" t="n">
        <f aca="false">MIN(ABS(AR128*12-0.5),12-ABS(AR128*12-0.5))/6</f>
        <v>0.712962962962963</v>
      </c>
      <c r="AS129" s="47" t="n">
        <f aca="false">MIN(ABS(AS128*12-0.5),12-ABS(AS128*12-0.5))/6</f>
        <v>0.731481481481481</v>
      </c>
      <c r="AT129" s="47" t="n">
        <f aca="false">MIN(ABS(AT128*12-0.5),12-ABS(AT128*12-0.5))/6</f>
        <v>0.75</v>
      </c>
      <c r="AU129" s="47" t="n">
        <f aca="false">MIN(ABS(AU128*12-0.5),12-ABS(AU128*12-0.5))/6</f>
        <v>0.768518518518518</v>
      </c>
      <c r="AV129" s="47" t="n">
        <f aca="false">MIN(ABS(AV128*12-0.5),12-ABS(AV128*12-0.5))/6</f>
        <v>0.787037037037037</v>
      </c>
      <c r="AW129" s="47" t="n">
        <f aca="false">MIN(ABS(AW128*12-0.5),12-ABS(AW128*12-0.5))/6</f>
        <v>0.805555555555555</v>
      </c>
      <c r="AX129" s="47" t="n">
        <f aca="false">MIN(ABS(AX128*12-0.5),12-ABS(AX128*12-0.5))/6</f>
        <v>0.824074074074074</v>
      </c>
      <c r="AY129" s="47" t="n">
        <f aca="false">MIN(ABS(AY128*12-0.5),12-ABS(AY128*12-0.5))/6</f>
        <v>0.842592592592593</v>
      </c>
      <c r="AZ129" s="47" t="n">
        <f aca="false">MIN(ABS(AZ128*12-0.5),12-ABS(AZ128*12-0.5))/6</f>
        <v>0.861111111111111</v>
      </c>
      <c r="BA129" s="47" t="n">
        <f aca="false">MIN(ABS(BA128*12-0.5),12-ABS(BA128*12-0.5))/6</f>
        <v>0.87962962962963</v>
      </c>
      <c r="BB129" s="47" t="n">
        <f aca="false">MIN(ABS(BB128*12-0.5),12-ABS(BB128*12-0.5))/6</f>
        <v>0.898148148148148</v>
      </c>
      <c r="BC129" s="47" t="n">
        <f aca="false">MIN(ABS(BC128*12-0.5),12-ABS(BC128*12-0.5))/6</f>
        <v>0.916666666666667</v>
      </c>
      <c r="BD129" s="47" t="n">
        <f aca="false">MIN(ABS(BD128*12-0.5),12-ABS(BD128*12-0.5))/6</f>
        <v>0.935185185185185</v>
      </c>
      <c r="BE129" s="47" t="n">
        <f aca="false">MIN(ABS(BE128*12-0.5),12-ABS(BE128*12-0.5))/6</f>
        <v>0.953703703703704</v>
      </c>
      <c r="BF129" s="47" t="n">
        <f aca="false">MIN(ABS(BF128*12-0.5),12-ABS(BF128*12-0.5))/6</f>
        <v>0.972222222222222</v>
      </c>
      <c r="BG129" s="47" t="n">
        <f aca="false">MIN(ABS(BG128*12-0.5),12-ABS(BG128*12-0.5))/6</f>
        <v>0.990740740740741</v>
      </c>
      <c r="BH129" s="47" t="n">
        <f aca="false">MIN(ABS(BH128*12-0.5),12-ABS(BH128*12-0.5))/6</f>
        <v>0.990740740740741</v>
      </c>
      <c r="BI129" s="47" t="n">
        <f aca="false">MIN(ABS(BI128*12-0.5),12-ABS(BI128*12-0.5))/6</f>
        <v>0.972222222222222</v>
      </c>
      <c r="BJ129" s="47" t="n">
        <f aca="false">MIN(ABS(BJ128*12-0.5),12-ABS(BJ128*12-0.5))/6</f>
        <v>0.953703703703704</v>
      </c>
      <c r="BK129" s="47" t="n">
        <f aca="false">MIN(ABS(BK128*12-0.5),12-ABS(BK128*12-0.5))/6</f>
        <v>0.935185185185185</v>
      </c>
      <c r="BL129" s="47" t="n">
        <f aca="false">MIN(ABS(BL128*12-0.5),12-ABS(BL128*12-0.5))/6</f>
        <v>0.916666666666667</v>
      </c>
      <c r="BM129" s="47" t="n">
        <f aca="false">MIN(ABS(BM128*12-0.5),12-ABS(BM128*12-0.5))/6</f>
        <v>0.898148148148148</v>
      </c>
      <c r="BN129" s="47" t="n">
        <f aca="false">MIN(ABS(BN128*12-0.5),12-ABS(BN128*12-0.5))/6</f>
        <v>0.87962962962963</v>
      </c>
      <c r="BO129" s="47" t="n">
        <f aca="false">MIN(ABS(BO128*12-0.5),12-ABS(BO128*12-0.5))/6</f>
        <v>0.861111111111111</v>
      </c>
      <c r="BP129" s="47" t="n">
        <f aca="false">MIN(ABS(BP128*12-0.5),12-ABS(BP128*12-0.5))/6</f>
        <v>0.842592592592593</v>
      </c>
      <c r="BQ129" s="47" t="n">
        <f aca="false">MIN(ABS(BQ128*12-0.5),12-ABS(BQ128*12-0.5))/6</f>
        <v>0.824074074074074</v>
      </c>
      <c r="BR129" s="47" t="n">
        <f aca="false">MIN(ABS(BR128*12-0.5),12-ABS(BR128*12-0.5))/6</f>
        <v>0.805555555555556</v>
      </c>
      <c r="BS129" s="47" t="n">
        <f aca="false">MIN(ABS(BS128*12-0.5),12-ABS(BS128*12-0.5))/6</f>
        <v>0.787037037037037</v>
      </c>
      <c r="BT129" s="47" t="n">
        <f aca="false">MIN(ABS(BT128*12-0.5),12-ABS(BT128*12-0.5))/6</f>
        <v>0.768518518518518</v>
      </c>
      <c r="BU129" s="47" t="n">
        <f aca="false">MIN(ABS(BU128*12-0.5),12-ABS(BU128*12-0.5))/6</f>
        <v>0.75</v>
      </c>
      <c r="BV129" s="47" t="n">
        <f aca="false">MIN(ABS(BV128*12-0.5),12-ABS(BV128*12-0.5))/6</f>
        <v>0.731481481481482</v>
      </c>
      <c r="BW129" s="47" t="n">
        <f aca="false">MIN(ABS(BW128*12-0.5),12-ABS(BW128*12-0.5))/6</f>
        <v>0.712962962962963</v>
      </c>
      <c r="BX129" s="47" t="n">
        <f aca="false">MIN(ABS(BX128*12-0.5),12-ABS(BX128*12-0.5))/6</f>
        <v>0.694444444444445</v>
      </c>
      <c r="BY129" s="47" t="n">
        <f aca="false">MIN(ABS(BY128*12-0.5),12-ABS(BY128*12-0.5))/6</f>
        <v>0.675925925925926</v>
      </c>
      <c r="BZ129" s="47" t="n">
        <f aca="false">MIN(ABS(BZ128*12-0.5),12-ABS(BZ128*12-0.5))/6</f>
        <v>0.657407407407407</v>
      </c>
      <c r="CA129" s="47" t="n">
        <f aca="false">MIN(ABS(CA128*12-0.5),12-ABS(CA128*12-0.5))/6</f>
        <v>0.638888888888889</v>
      </c>
      <c r="CB129" s="47" t="n">
        <f aca="false">MIN(ABS(CB128*12-0.5),12-ABS(CB128*12-0.5))/6</f>
        <v>0.62037037037037</v>
      </c>
      <c r="CC129" s="47" t="n">
        <f aca="false">MIN(ABS(CC128*12-0.5),12-ABS(CC128*12-0.5))/6</f>
        <v>0.601851851851852</v>
      </c>
      <c r="CD129" s="47" t="n">
        <f aca="false">MIN(ABS(CD128*12-0.5),12-ABS(CD128*12-0.5))/6</f>
        <v>0.583333333333333</v>
      </c>
      <c r="CE129" s="47" t="n">
        <f aca="false">MIN(ABS(CE128*12-0.5),12-ABS(CE128*12-0.5))/6</f>
        <v>0.564814814814815</v>
      </c>
      <c r="CF129" s="47" t="n">
        <f aca="false">MIN(ABS(CF128*12-0.5),12-ABS(CF128*12-0.5))/6</f>
        <v>0.546296296296296</v>
      </c>
      <c r="CG129" s="47" t="n">
        <f aca="false">MIN(ABS(CG128*12-0.5),12-ABS(CG128*12-0.5))/6</f>
        <v>0.527777777777778</v>
      </c>
      <c r="CH129" s="47" t="n">
        <f aca="false">MIN(ABS(CH128*12-0.5),12-ABS(CH128*12-0.5))/6</f>
        <v>0.509259259259259</v>
      </c>
      <c r="CI129" s="47" t="n">
        <f aca="false">MIN(ABS(CI128*12-0.5),12-ABS(CI128*12-0.5))/6</f>
        <v>0.490740740740741</v>
      </c>
      <c r="CJ129" s="47" t="n">
        <f aca="false">MIN(ABS(CJ128*12-0.5),12-ABS(CJ128*12-0.5))/6</f>
        <v>0.472222222222222</v>
      </c>
      <c r="CK129" s="47" t="n">
        <f aca="false">MIN(ABS(CK128*12-0.5),12-ABS(CK128*12-0.5))/6</f>
        <v>0.453703703703704</v>
      </c>
      <c r="CL129" s="47" t="n">
        <f aca="false">MIN(ABS(CL128*12-0.5),12-ABS(CL128*12-0.5))/6</f>
        <v>0.435185185185185</v>
      </c>
      <c r="CM129" s="47" t="n">
        <f aca="false">MIN(ABS(CM128*12-0.5),12-ABS(CM128*12-0.5))/6</f>
        <v>0.416666666666667</v>
      </c>
      <c r="CN129" s="47" t="n">
        <f aca="false">MIN(ABS(CN128*12-0.5),12-ABS(CN128*12-0.5))/6</f>
        <v>0.398148148148148</v>
      </c>
      <c r="CO129" s="47" t="n">
        <f aca="false">MIN(ABS(CO128*12-0.5),12-ABS(CO128*12-0.5))/6</f>
        <v>0.37962962962963</v>
      </c>
      <c r="CP129" s="47" t="n">
        <f aca="false">MIN(ABS(CP128*12-0.5),12-ABS(CP128*12-0.5))/6</f>
        <v>0.361111111111111</v>
      </c>
      <c r="CQ129" s="47" t="n">
        <f aca="false">MIN(ABS(CQ128*12-0.5),12-ABS(CQ128*12-0.5))/6</f>
        <v>0.342592592592593</v>
      </c>
      <c r="CR129" s="47" t="n">
        <f aca="false">MIN(ABS(CR128*12-0.5),12-ABS(CR128*12-0.5))/6</f>
        <v>0.324074074074074</v>
      </c>
      <c r="CS129" s="47" t="n">
        <f aca="false">MIN(ABS(CS128*12-0.5),12-ABS(CS128*12-0.5))/6</f>
        <v>0.305555555555556</v>
      </c>
      <c r="CT129" s="47" t="n">
        <f aca="false">MIN(ABS(CT128*12-0.5),12-ABS(CT128*12-0.5))/6</f>
        <v>0.287037037037037</v>
      </c>
      <c r="CU129" s="47" t="n">
        <f aca="false">MIN(ABS(CU128*12-0.5),12-ABS(CU128*12-0.5))/6</f>
        <v>0.268518518518518</v>
      </c>
      <c r="CV129" s="47" t="n">
        <f aca="false">MIN(ABS(CV128*12-0.5),12-ABS(CV128*12-0.5))/6</f>
        <v>0.25</v>
      </c>
      <c r="CW129" s="47" t="n">
        <f aca="false">MIN(ABS(CW128*12-0.5),12-ABS(CW128*12-0.5))/6</f>
        <v>0.231481481481482</v>
      </c>
      <c r="CX129" s="47" t="n">
        <f aca="false">MIN(ABS(CX128*12-0.5),12-ABS(CX128*12-0.5))/6</f>
        <v>0.212962962962963</v>
      </c>
      <c r="CY129" s="47" t="n">
        <f aca="false">MIN(ABS(CY128*12-0.5),12-ABS(CY128*12-0.5))/6</f>
        <v>0.194444444444445</v>
      </c>
      <c r="CZ129" s="47" t="n">
        <f aca="false">MIN(ABS(CZ128*12-0.5),12-ABS(CZ128*12-0.5))/6</f>
        <v>0.175925925925926</v>
      </c>
      <c r="DA129" s="47" t="n">
        <f aca="false">MIN(ABS(DA128*12-0.5),12-ABS(DA128*12-0.5))/6</f>
        <v>0.157407407407407</v>
      </c>
      <c r="DB129" s="47" t="n">
        <f aca="false">MIN(ABS(DB128*12-0.5),12-ABS(DB128*12-0.5))/6</f>
        <v>0.138888888888889</v>
      </c>
      <c r="DC129" s="47" t="n">
        <f aca="false">MIN(ABS(DC128*12-0.5),12-ABS(DC128*12-0.5))/6</f>
        <v>0.12037037037037</v>
      </c>
      <c r="DD129" s="47" t="n">
        <f aca="false">MIN(ABS(DD128*12-0.5),12-ABS(DD128*12-0.5))/6</f>
        <v>0.101851851851852</v>
      </c>
      <c r="DE129" s="47" t="n">
        <f aca="false">MIN(ABS(DE128*12-0.5),12-ABS(DE128*12-0.5))/6</f>
        <v>0.0833333333333333</v>
      </c>
    </row>
    <row r="130" customFormat="false" ht="13.8" hidden="false" customHeight="false" outlineLevel="0" collapsed="false">
      <c r="A130" s="44" t="s">
        <v>78</v>
      </c>
      <c r="B130" s="47" t="n">
        <f aca="false">6*B129^5-15*B129^4+10*B129^3</f>
        <v>0.00246498672229007</v>
      </c>
      <c r="C130" s="47" t="n">
        <f aca="false">6*C129^5-15*C129^4+10*C129^3</f>
        <v>0.000924657346069983</v>
      </c>
      <c r="D130" s="47" t="n">
        <f aca="false">6*D129^5-15*D129^4+10*D129^3</f>
        <v>0.000205503321394096</v>
      </c>
      <c r="E130" s="47" t="n">
        <f aca="false">6*E129^5-15*E129^4+10*E129^3</f>
        <v>7.82847628220046E-006</v>
      </c>
      <c r="F130" s="47" t="n">
        <f aca="false">6*F129^5-15*F129^4+10*F129^3</f>
        <v>7.82847628220046E-006</v>
      </c>
      <c r="G130" s="47" t="n">
        <f aca="false">6*G129^5-15*G129^4+10*G129^3</f>
        <v>0.000205503321394096</v>
      </c>
      <c r="H130" s="47" t="n">
        <f aca="false">6*H129^5-15*H129^4+10*H129^3</f>
        <v>0.000924657346069982</v>
      </c>
      <c r="I130" s="47" t="n">
        <f aca="false">6*I129^5-15*I129^4+10*I129^3</f>
        <v>0.00246498672229007</v>
      </c>
      <c r="J130" s="47" t="n">
        <f aca="false">6*J129^5-15*J129^4+10*J129^3</f>
        <v>0.00508777006172839</v>
      </c>
      <c r="K130" s="47" t="n">
        <f aca="false">6*K129^5-15*K129^4+10*K129^3</f>
        <v>0.00901743647943882</v>
      </c>
      <c r="L130" s="47" t="n">
        <f aca="false">6*L129^5-15*L129^4+10*L129^3</f>
        <v>0.0144431336575409</v>
      </c>
      <c r="M130" s="47" t="n">
        <f aca="false">6*M129^5-15*M129^4+10*M129^3</f>
        <v>0.0215202959089062</v>
      </c>
      <c r="N130" s="47" t="n">
        <f aca="false">6*N129^5-15*N129^4+10*N129^3</f>
        <v>0.0303722122408435</v>
      </c>
      <c r="O130" s="47" t="n">
        <f aca="false">6*O129^5-15*O129^4+10*O129^3</f>
        <v>0.0410915944187857</v>
      </c>
      <c r="P130" s="47" t="n">
        <f aca="false">6*P129^5-15*P129^4+10*P129^3</f>
        <v>0.0537421450299751</v>
      </c>
      <c r="Q130" s="47" t="n">
        <f aca="false">6*Q129^5-15*Q129^4+10*Q129^3</f>
        <v>0.0683601255471497</v>
      </c>
      <c r="R130" s="47" t="n">
        <f aca="false">6*R129^5-15*R129^4+10*R129^3</f>
        <v>0.084955924392229</v>
      </c>
      <c r="S130" s="47" t="n">
        <f aca="false">6*S129^5-15*S129^4+10*S129^3</f>
        <v>0.103515625</v>
      </c>
      <c r="T130" s="47" t="n">
        <f aca="false">6*T129^5-15*T129^4+10*T129^3</f>
        <v>0.124002573881803</v>
      </c>
      <c r="U130" s="47" t="n">
        <f aca="false">6*U129^5-15*U129^4+10*U129^3</f>
        <v>0.146358948689219</v>
      </c>
      <c r="V130" s="47" t="n">
        <f aca="false">6*V129^5-15*V129^4+10*V129^3</f>
        <v>0.170507326277752</v>
      </c>
      <c r="W130" s="47" t="n">
        <f aca="false">6*W129^5-15*W129^4+10*W129^3</f>
        <v>0.19635225077052</v>
      </c>
      <c r="X130" s="47" t="n">
        <f aca="false">6*X129^5-15*X129^4+10*X129^3</f>
        <v>0.223781801621937</v>
      </c>
      <c r="Y130" s="47" t="n">
        <f aca="false">6*Y129^5-15*Y129^4+10*Y129^3</f>
        <v>0.2526691616814</v>
      </c>
      <c r="Z130" s="47" t="n">
        <f aca="false">6*Z129^5-15*Z129^4+10*Z129^3</f>
        <v>0.282874185256976</v>
      </c>
      <c r="AA130" s="47" t="n">
        <f aca="false">6*AA129^5-15*AA129^4+10*AA129^3</f>
        <v>0.314244966179088</v>
      </c>
      <c r="AB130" s="47" t="n">
        <f aca="false">6*AB129^5-15*AB129^4+10*AB129^3</f>
        <v>0.346619405864198</v>
      </c>
      <c r="AC130" s="47" t="n">
        <f aca="false">6*AC129^5-15*AC129^4+10*AC129^3</f>
        <v>0.379826781378496</v>
      </c>
      <c r="AD130" s="47" t="n">
        <f aca="false">6*AD129^5-15*AD129^4+10*AD129^3</f>
        <v>0.413689313501588</v>
      </c>
      <c r="AE130" s="47" t="n">
        <f aca="false">6*AE129^5-15*AE129^4+10*AE129^3</f>
        <v>0.448023734790174</v>
      </c>
      <c r="AF130" s="47" t="n">
        <f aca="false">6*AF129^5-15*AF129^4+10*AF129^3</f>
        <v>0.482642857641744</v>
      </c>
      <c r="AG130" s="47" t="n">
        <f aca="false">6*AG129^5-15*AG129^4+10*AG129^3</f>
        <v>0.517357142358256</v>
      </c>
      <c r="AH130" s="47" t="n">
        <f aca="false">6*AH129^5-15*AH129^4+10*AH129^3</f>
        <v>0.551976265209826</v>
      </c>
      <c r="AI130" s="47" t="n">
        <f aca="false">6*AI129^5-15*AI129^4+10*AI129^3</f>
        <v>0.586310686498412</v>
      </c>
      <c r="AJ130" s="47" t="n">
        <f aca="false">6*AJ129^5-15*AJ129^4+10*AJ129^3</f>
        <v>0.620173218621504</v>
      </c>
      <c r="AK130" s="47" t="n">
        <f aca="false">6*AK129^5-15*AK129^4+10*AK129^3</f>
        <v>0.653380594135803</v>
      </c>
      <c r="AL130" s="47" t="n">
        <f aca="false">6*AL129^5-15*AL129^4+10*AL129^3</f>
        <v>0.685755033820913</v>
      </c>
      <c r="AM130" s="47" t="n">
        <f aca="false">6*AM129^5-15*AM129^4+10*AM129^3</f>
        <v>0.717125814743023</v>
      </c>
      <c r="AN130" s="47" t="n">
        <f aca="false">6*AN129^5-15*AN129^4+10*AN129^3</f>
        <v>0.7473308383186</v>
      </c>
      <c r="AO130" s="47" t="n">
        <f aca="false">6*AO129^5-15*AO129^4+10*AO129^3</f>
        <v>0.776218198378063</v>
      </c>
      <c r="AP130" s="47" t="n">
        <f aca="false">6*AP129^5-15*AP129^4+10*AP129^3</f>
        <v>0.80364774922948</v>
      </c>
      <c r="AQ130" s="47" t="n">
        <f aca="false">6*AQ129^5-15*AQ129^4+10*AQ129^3</f>
        <v>0.829492673722248</v>
      </c>
      <c r="AR130" s="47" t="n">
        <f aca="false">6*AR129^5-15*AR129^4+10*AR129^3</f>
        <v>0.853641051310781</v>
      </c>
      <c r="AS130" s="47" t="n">
        <f aca="false">6*AS129^5-15*AS129^4+10*AS129^3</f>
        <v>0.875997426118197</v>
      </c>
      <c r="AT130" s="47" t="n">
        <f aca="false">6*AT129^5-15*AT129^4+10*AT129^3</f>
        <v>0.896484375</v>
      </c>
      <c r="AU130" s="47" t="n">
        <f aca="false">6*AU129^5-15*AU129^4+10*AU129^3</f>
        <v>0.915044075607771</v>
      </c>
      <c r="AV130" s="47" t="n">
        <f aca="false">6*AV129^5-15*AV129^4+10*AV129^3</f>
        <v>0.93163987445285</v>
      </c>
      <c r="AW130" s="47" t="n">
        <f aca="false">6*AW129^5-15*AW129^4+10*AW129^3</f>
        <v>0.946257854970024</v>
      </c>
      <c r="AX130" s="47" t="n">
        <f aca="false">6*AX129^5-15*AX129^4+10*AX129^3</f>
        <v>0.958908405581214</v>
      </c>
      <c r="AY130" s="47" t="n">
        <f aca="false">6*AY129^5-15*AY129^4+10*AY129^3</f>
        <v>0.969627787759156</v>
      </c>
      <c r="AZ130" s="47" t="n">
        <f aca="false">6*AZ129^5-15*AZ129^4+10*AZ129^3</f>
        <v>0.978479704091094</v>
      </c>
      <c r="BA130" s="47" t="n">
        <f aca="false">6*BA129^5-15*BA129^4+10*BA129^3</f>
        <v>0.985556866342459</v>
      </c>
      <c r="BB130" s="47" t="n">
        <f aca="false">6*BB129^5-15*BB129^4+10*BB129^3</f>
        <v>0.990982563520562</v>
      </c>
      <c r="BC130" s="47" t="n">
        <f aca="false">6*BC129^5-15*BC129^4+10*BC129^3</f>
        <v>0.994912229938271</v>
      </c>
      <c r="BD130" s="47" t="n">
        <f aca="false">6*BD129^5-15*BD129^4+10*BD129^3</f>
        <v>0.99753501327771</v>
      </c>
      <c r="BE130" s="47" t="n">
        <f aca="false">6*BE129^5-15*BE129^4+10*BE129^3</f>
        <v>0.999075342653931</v>
      </c>
      <c r="BF130" s="47" t="n">
        <f aca="false">6*BF129^5-15*BF129^4+10*BF129^3</f>
        <v>0.999794496678605</v>
      </c>
      <c r="BG130" s="47" t="n">
        <f aca="false">6*BG129^5-15*BG129^4+10*BG129^3</f>
        <v>0.999992171523719</v>
      </c>
      <c r="BH130" s="47" t="n">
        <f aca="false">6*BH129^5-15*BH129^4+10*BH129^3</f>
        <v>0.999992171523719</v>
      </c>
      <c r="BI130" s="47" t="n">
        <f aca="false">6*BI129^5-15*BI129^4+10*BI129^3</f>
        <v>0.999794496678607</v>
      </c>
      <c r="BJ130" s="47" t="n">
        <f aca="false">6*BJ129^5-15*BJ129^4+10*BJ129^3</f>
        <v>0.99907534265393</v>
      </c>
      <c r="BK130" s="47" t="n">
        <f aca="false">6*BK129^5-15*BK129^4+10*BK129^3</f>
        <v>0.997535013277709</v>
      </c>
      <c r="BL130" s="47" t="n">
        <f aca="false">6*BL129^5-15*BL129^4+10*BL129^3</f>
        <v>0.994912229938271</v>
      </c>
      <c r="BM130" s="47" t="n">
        <f aca="false">6*BM129^5-15*BM129^4+10*BM129^3</f>
        <v>0.990982563520562</v>
      </c>
      <c r="BN130" s="47" t="n">
        <f aca="false">6*BN129^5-15*BN129^4+10*BN129^3</f>
        <v>0.985556866342459</v>
      </c>
      <c r="BO130" s="47" t="n">
        <f aca="false">6*BO129^5-15*BO129^4+10*BO129^3</f>
        <v>0.978479704091094</v>
      </c>
      <c r="BP130" s="47" t="n">
        <f aca="false">6*BP129^5-15*BP129^4+10*BP129^3</f>
        <v>0.969627787759156</v>
      </c>
      <c r="BQ130" s="47" t="n">
        <f aca="false">6*BQ129^5-15*BQ129^4+10*BQ129^3</f>
        <v>0.958908405581214</v>
      </c>
      <c r="BR130" s="47" t="n">
        <f aca="false">6*BR129^5-15*BR129^4+10*BR129^3</f>
        <v>0.946257854970025</v>
      </c>
      <c r="BS130" s="47" t="n">
        <f aca="false">6*BS129^5-15*BS129^4+10*BS129^3</f>
        <v>0.93163987445285</v>
      </c>
      <c r="BT130" s="47" t="n">
        <f aca="false">6*BT129^5-15*BT129^4+10*BT129^3</f>
        <v>0.915044075607771</v>
      </c>
      <c r="BU130" s="47" t="n">
        <f aca="false">6*BU129^5-15*BU129^4+10*BU129^3</f>
        <v>0.896484375</v>
      </c>
      <c r="BV130" s="47" t="n">
        <f aca="false">6*BV129^5-15*BV129^4+10*BV129^3</f>
        <v>0.875997426118196</v>
      </c>
      <c r="BW130" s="47" t="n">
        <f aca="false">6*BW129^5-15*BW129^4+10*BW129^3</f>
        <v>0.85364105131078</v>
      </c>
      <c r="BX130" s="47" t="n">
        <f aca="false">6*BX129^5-15*BX129^4+10*BX129^3</f>
        <v>0.829492673722248</v>
      </c>
      <c r="BY130" s="47" t="n">
        <f aca="false">6*BY129^5-15*BY129^4+10*BY129^3</f>
        <v>0.80364774922948</v>
      </c>
      <c r="BZ130" s="47" t="n">
        <f aca="false">6*BZ129^5-15*BZ129^4+10*BZ129^3</f>
        <v>0.776218198378063</v>
      </c>
      <c r="CA130" s="47" t="n">
        <f aca="false">6*CA129^5-15*CA129^4+10*CA129^3</f>
        <v>0.7473308383186</v>
      </c>
      <c r="CB130" s="47" t="n">
        <f aca="false">6*CB129^5-15*CB129^4+10*CB129^3</f>
        <v>0.717125814743023</v>
      </c>
      <c r="CC130" s="47" t="n">
        <f aca="false">6*CC129^5-15*CC129^4+10*CC129^3</f>
        <v>0.685755033820912</v>
      </c>
      <c r="CD130" s="47" t="n">
        <f aca="false">6*CD129^5-15*CD129^4+10*CD129^3</f>
        <v>0.653380594135803</v>
      </c>
      <c r="CE130" s="47" t="n">
        <f aca="false">6*CE129^5-15*CE129^4+10*CE129^3</f>
        <v>0.620173218621504</v>
      </c>
      <c r="CF130" s="47" t="n">
        <f aca="false">6*CF129^5-15*CF129^4+10*CF129^3</f>
        <v>0.586310686498413</v>
      </c>
      <c r="CG130" s="47" t="n">
        <f aca="false">6*CG129^5-15*CG129^4+10*CG129^3</f>
        <v>0.551976265209826</v>
      </c>
      <c r="CH130" s="47" t="n">
        <f aca="false">6*CH129^5-15*CH129^4+10*CH129^3</f>
        <v>0.517357142358256</v>
      </c>
      <c r="CI130" s="47" t="n">
        <f aca="false">6*CI129^5-15*CI129^4+10*CI129^3</f>
        <v>0.482642857641744</v>
      </c>
      <c r="CJ130" s="47" t="n">
        <f aca="false">6*CJ129^5-15*CJ129^4+10*CJ129^3</f>
        <v>0.448023734790174</v>
      </c>
      <c r="CK130" s="47" t="n">
        <f aca="false">6*CK129^5-15*CK129^4+10*CK129^3</f>
        <v>0.413689313501588</v>
      </c>
      <c r="CL130" s="47" t="n">
        <f aca="false">6*CL129^5-15*CL129^4+10*CL129^3</f>
        <v>0.379826781378496</v>
      </c>
      <c r="CM130" s="47" t="n">
        <f aca="false">6*CM129^5-15*CM129^4+10*CM129^3</f>
        <v>0.346619405864198</v>
      </c>
      <c r="CN130" s="47" t="n">
        <f aca="false">6*CN129^5-15*CN129^4+10*CN129^3</f>
        <v>0.314244966179088</v>
      </c>
      <c r="CO130" s="47" t="n">
        <f aca="false">6*CO129^5-15*CO129^4+10*CO129^3</f>
        <v>0.282874185256977</v>
      </c>
      <c r="CP130" s="47" t="n">
        <f aca="false">6*CP129^5-15*CP129^4+10*CP129^3</f>
        <v>0.2526691616814</v>
      </c>
      <c r="CQ130" s="47" t="n">
        <f aca="false">6*CQ129^5-15*CQ129^4+10*CQ129^3</f>
        <v>0.223781801621937</v>
      </c>
      <c r="CR130" s="47" t="n">
        <f aca="false">6*CR129^5-15*CR129^4+10*CR129^3</f>
        <v>0.19635225077052</v>
      </c>
      <c r="CS130" s="47" t="n">
        <f aca="false">6*CS129^5-15*CS129^4+10*CS129^3</f>
        <v>0.170507326277753</v>
      </c>
      <c r="CT130" s="47" t="n">
        <f aca="false">6*CT129^5-15*CT129^4+10*CT129^3</f>
        <v>0.146358948689219</v>
      </c>
      <c r="CU130" s="47" t="n">
        <f aca="false">6*CU129^5-15*CU129^4+10*CU129^3</f>
        <v>0.124002573881803</v>
      </c>
      <c r="CV130" s="47" t="n">
        <f aca="false">6*CV129^5-15*CV129^4+10*CV129^3</f>
        <v>0.103515625</v>
      </c>
      <c r="CW130" s="47" t="n">
        <f aca="false">6*CW129^5-15*CW129^4+10*CW129^3</f>
        <v>0.084955924392229</v>
      </c>
      <c r="CX130" s="47" t="n">
        <f aca="false">6*CX129^5-15*CX129^4+10*CX129^3</f>
        <v>0.0683601255471496</v>
      </c>
      <c r="CY130" s="47" t="n">
        <f aca="false">6*CY129^5-15*CY129^4+10*CY129^3</f>
        <v>0.0537421450299753</v>
      </c>
      <c r="CZ130" s="47" t="n">
        <f aca="false">6*CZ129^5-15*CZ129^4+10*CZ129^3</f>
        <v>0.0410915944187857</v>
      </c>
      <c r="DA130" s="47" t="n">
        <f aca="false">6*DA129^5-15*DA129^4+10*DA129^3</f>
        <v>0.0303722122408435</v>
      </c>
      <c r="DB130" s="47" t="n">
        <f aca="false">6*DB129^5-15*DB129^4+10*DB129^3</f>
        <v>0.0215202959089062</v>
      </c>
      <c r="DC130" s="47" t="n">
        <f aca="false">6*DC129^5-15*DC129^4+10*DC129^3</f>
        <v>0.0144431336575409</v>
      </c>
      <c r="DD130" s="47" t="n">
        <f aca="false">6*DD129^5-15*DD129^4+10*DD129^3</f>
        <v>0.0090174364794388</v>
      </c>
      <c r="DE130" s="47" t="n">
        <f aca="false">6*DE129^5-15*DE129^4+10*DE129^3</f>
        <v>0.00508777006172839</v>
      </c>
    </row>
    <row r="131" customFormat="false" ht="13.8" hidden="false" customHeight="false" outlineLevel="0" collapsed="false">
      <c r="A131" s="44" t="s">
        <v>79</v>
      </c>
      <c r="B131" s="47" t="n">
        <f aca="false">B130*$F$3</f>
        <v>0.0801120684744273</v>
      </c>
      <c r="C131" s="47" t="n">
        <f aca="false">C130*$F$3</f>
        <v>0.0300513637472744</v>
      </c>
      <c r="D131" s="47" t="n">
        <f aca="false">D130*$F$3</f>
        <v>0.00667885794530812</v>
      </c>
      <c r="E131" s="47" t="n">
        <f aca="false">E130*$F$3</f>
        <v>0.000254425479171515</v>
      </c>
      <c r="F131" s="47" t="n">
        <f aca="false">F130*$F$3</f>
        <v>0.000254425479171515</v>
      </c>
      <c r="G131" s="47" t="n">
        <f aca="false">G130*$F$3</f>
        <v>0.00667885794530812</v>
      </c>
      <c r="H131" s="47" t="n">
        <f aca="false">H130*$F$3</f>
        <v>0.0300513637472744</v>
      </c>
      <c r="I131" s="47" t="n">
        <f aca="false">I130*$F$3</f>
        <v>0.0801120684744273</v>
      </c>
      <c r="J131" s="47" t="n">
        <f aca="false">J130*$F$3</f>
        <v>0.165352527006173</v>
      </c>
      <c r="K131" s="47" t="n">
        <f aca="false">K130*$F$3</f>
        <v>0.293066685581762</v>
      </c>
      <c r="L131" s="47" t="n">
        <f aca="false">L130*$F$3</f>
        <v>0.469401843870079</v>
      </c>
      <c r="M131" s="47" t="n">
        <f aca="false">M130*$F$3</f>
        <v>0.699409617039452</v>
      </c>
      <c r="N131" s="47" t="n">
        <f aca="false">N130*$F$3</f>
        <v>0.987096897827414</v>
      </c>
      <c r="O131" s="47" t="n">
        <f aca="false">O130*$F$3</f>
        <v>1.33547681861054</v>
      </c>
      <c r="P131" s="47" t="n">
        <f aca="false">P130*$F$3</f>
        <v>1.74661971347419</v>
      </c>
      <c r="Q131" s="47" t="n">
        <f aca="false">Q130*$F$3</f>
        <v>2.22170408028237</v>
      </c>
      <c r="R131" s="47" t="n">
        <f aca="false">R130*$F$3</f>
        <v>2.76106754274744</v>
      </c>
      <c r="S131" s="47" t="n">
        <f aca="false">S130*$F$3</f>
        <v>3.3642578125</v>
      </c>
      <c r="T131" s="47" t="n">
        <f aca="false">T130*$F$3</f>
        <v>4.0300836511586</v>
      </c>
      <c r="U131" s="47" t="n">
        <f aca="false">U130*$F$3</f>
        <v>4.75666583239962</v>
      </c>
      <c r="V131" s="47" t="n">
        <f aca="false">V130*$F$3</f>
        <v>5.54148810402694</v>
      </c>
      <c r="W131" s="47" t="n">
        <f aca="false">W130*$F$3</f>
        <v>6.3814481500419</v>
      </c>
      <c r="X131" s="47" t="n">
        <f aca="false">X130*$F$3</f>
        <v>7.27290855271295</v>
      </c>
      <c r="Y131" s="47" t="n">
        <f aca="false">Y130*$F$3</f>
        <v>8.2117477546455</v>
      </c>
      <c r="Z131" s="47" t="n">
        <f aca="false">Z130*$F$3</f>
        <v>9.19341102085172</v>
      </c>
      <c r="AA131" s="47" t="n">
        <f aca="false">AA130*$F$3</f>
        <v>10.2129614008204</v>
      </c>
      <c r="AB131" s="47" t="n">
        <f aca="false">AB130*$F$3</f>
        <v>11.2651306905864</v>
      </c>
      <c r="AC131" s="47" t="n">
        <f aca="false">AC130*$F$3</f>
        <v>12.3443703948011</v>
      </c>
      <c r="AD131" s="47" t="n">
        <f aca="false">AD130*$F$3</f>
        <v>13.4449026888016</v>
      </c>
      <c r="AE131" s="47" t="n">
        <f aca="false">AE130*$F$3</f>
        <v>14.5607713806807</v>
      </c>
      <c r="AF131" s="47" t="n">
        <f aca="false">AF130*$F$3</f>
        <v>15.6858928733567</v>
      </c>
      <c r="AG131" s="47" t="n">
        <f aca="false">AG130*$F$3</f>
        <v>16.8141071266433</v>
      </c>
      <c r="AH131" s="47" t="n">
        <f aca="false">AH130*$F$3</f>
        <v>17.9392286193193</v>
      </c>
      <c r="AI131" s="47" t="n">
        <f aca="false">AI130*$F$3</f>
        <v>19.0550973111984</v>
      </c>
      <c r="AJ131" s="47" t="n">
        <f aca="false">AJ130*$F$3</f>
        <v>20.1556296051989</v>
      </c>
      <c r="AK131" s="47" t="n">
        <f aca="false">AK130*$F$3</f>
        <v>21.2348693094136</v>
      </c>
      <c r="AL131" s="47" t="n">
        <f aca="false">AL130*$F$3</f>
        <v>22.2870385991797</v>
      </c>
      <c r="AM131" s="47" t="n">
        <f aca="false">AM130*$F$3</f>
        <v>23.3065889791482</v>
      </c>
      <c r="AN131" s="47" t="n">
        <f aca="false">AN130*$F$3</f>
        <v>24.2882522453545</v>
      </c>
      <c r="AO131" s="47" t="n">
        <f aca="false">AO130*$F$3</f>
        <v>25.227091447287</v>
      </c>
      <c r="AP131" s="47" t="n">
        <f aca="false">AP130*$F$3</f>
        <v>26.1185518499581</v>
      </c>
      <c r="AQ131" s="47" t="n">
        <f aca="false">AQ130*$F$3</f>
        <v>26.9585118959731</v>
      </c>
      <c r="AR131" s="47" t="n">
        <f aca="false">AR130*$F$3</f>
        <v>27.7433341676004</v>
      </c>
      <c r="AS131" s="47" t="n">
        <f aca="false">AS130*$F$3</f>
        <v>28.4699163488414</v>
      </c>
      <c r="AT131" s="47" t="n">
        <f aca="false">AT130*$F$3</f>
        <v>29.1357421875</v>
      </c>
      <c r="AU131" s="47" t="n">
        <f aca="false">AU130*$F$3</f>
        <v>29.7389324572526</v>
      </c>
      <c r="AV131" s="47" t="n">
        <f aca="false">AV130*$F$3</f>
        <v>30.2782959197176</v>
      </c>
      <c r="AW131" s="47" t="n">
        <f aca="false">AW130*$F$3</f>
        <v>30.7533802865258</v>
      </c>
      <c r="AX131" s="47" t="n">
        <f aca="false">AX130*$F$3</f>
        <v>31.1645231813895</v>
      </c>
      <c r="AY131" s="47" t="n">
        <f aca="false">AY130*$F$3</f>
        <v>31.5129031021726</v>
      </c>
      <c r="AZ131" s="47" t="n">
        <f aca="false">AZ130*$F$3</f>
        <v>31.8005903829606</v>
      </c>
      <c r="BA131" s="47" t="n">
        <f aca="false">BA130*$F$3</f>
        <v>32.0305981561299</v>
      </c>
      <c r="BB131" s="47" t="n">
        <f aca="false">BB130*$F$3</f>
        <v>32.2069333144183</v>
      </c>
      <c r="BC131" s="47" t="n">
        <f aca="false">BC130*$F$3</f>
        <v>32.3346474729938</v>
      </c>
      <c r="BD131" s="47" t="n">
        <f aca="false">BD130*$F$3</f>
        <v>32.4198879315256</v>
      </c>
      <c r="BE131" s="47" t="n">
        <f aca="false">BE130*$F$3</f>
        <v>32.4699486362528</v>
      </c>
      <c r="BF131" s="47" t="n">
        <f aca="false">BF130*$F$3</f>
        <v>32.4933211420547</v>
      </c>
      <c r="BG131" s="47" t="n">
        <f aca="false">BG130*$F$3</f>
        <v>32.4997455745209</v>
      </c>
      <c r="BH131" s="47" t="n">
        <f aca="false">BH130*$F$3</f>
        <v>32.4997455745209</v>
      </c>
      <c r="BI131" s="47" t="n">
        <f aca="false">BI130*$F$3</f>
        <v>32.4933211420547</v>
      </c>
      <c r="BJ131" s="47" t="n">
        <f aca="false">BJ130*$F$3</f>
        <v>32.4699486362527</v>
      </c>
      <c r="BK131" s="47" t="n">
        <f aca="false">BK130*$F$3</f>
        <v>32.4198879315255</v>
      </c>
      <c r="BL131" s="47" t="n">
        <f aca="false">BL130*$F$3</f>
        <v>32.3346474729938</v>
      </c>
      <c r="BM131" s="47" t="n">
        <f aca="false">BM130*$F$3</f>
        <v>32.2069333144183</v>
      </c>
      <c r="BN131" s="47" t="n">
        <f aca="false">BN130*$F$3</f>
        <v>32.0305981561299</v>
      </c>
      <c r="BO131" s="47" t="n">
        <f aca="false">BO130*$F$3</f>
        <v>31.8005903829606</v>
      </c>
      <c r="BP131" s="47" t="n">
        <f aca="false">BP130*$F$3</f>
        <v>31.5129031021726</v>
      </c>
      <c r="BQ131" s="47" t="n">
        <f aca="false">BQ130*$F$3</f>
        <v>31.1645231813895</v>
      </c>
      <c r="BR131" s="47" t="n">
        <f aca="false">BR130*$F$3</f>
        <v>30.7533802865258</v>
      </c>
      <c r="BS131" s="47" t="n">
        <f aca="false">BS130*$F$3</f>
        <v>30.2782959197176</v>
      </c>
      <c r="BT131" s="47" t="n">
        <f aca="false">BT130*$F$3</f>
        <v>29.7389324572526</v>
      </c>
      <c r="BU131" s="47" t="n">
        <f aca="false">BU130*$F$3</f>
        <v>29.1357421875</v>
      </c>
      <c r="BV131" s="47" t="n">
        <f aca="false">BV130*$F$3</f>
        <v>28.4699163488414</v>
      </c>
      <c r="BW131" s="47" t="n">
        <f aca="false">BW130*$F$3</f>
        <v>27.7433341676004</v>
      </c>
      <c r="BX131" s="47" t="n">
        <f aca="false">BX130*$F$3</f>
        <v>26.9585118959731</v>
      </c>
      <c r="BY131" s="47" t="n">
        <f aca="false">BY130*$F$3</f>
        <v>26.1185518499581</v>
      </c>
      <c r="BZ131" s="47" t="n">
        <f aca="false">BZ130*$F$3</f>
        <v>25.227091447287</v>
      </c>
      <c r="CA131" s="47" t="n">
        <f aca="false">CA130*$F$3</f>
        <v>24.2882522453545</v>
      </c>
      <c r="CB131" s="47" t="n">
        <f aca="false">CB130*$F$3</f>
        <v>23.3065889791482</v>
      </c>
      <c r="CC131" s="47" t="n">
        <f aca="false">CC130*$F$3</f>
        <v>22.2870385991796</v>
      </c>
      <c r="CD131" s="47" t="n">
        <f aca="false">CD130*$F$3</f>
        <v>21.2348693094136</v>
      </c>
      <c r="CE131" s="47" t="n">
        <f aca="false">CE130*$F$3</f>
        <v>20.1556296051989</v>
      </c>
      <c r="CF131" s="47" t="n">
        <f aca="false">CF130*$F$3</f>
        <v>19.0550973111984</v>
      </c>
      <c r="CG131" s="47" t="n">
        <f aca="false">CG130*$F$3</f>
        <v>17.9392286193193</v>
      </c>
      <c r="CH131" s="47" t="n">
        <f aca="false">CH130*$F$3</f>
        <v>16.8141071266433</v>
      </c>
      <c r="CI131" s="47" t="n">
        <f aca="false">CI130*$F$3</f>
        <v>15.6858928733567</v>
      </c>
      <c r="CJ131" s="47" t="n">
        <f aca="false">CJ130*$F$3</f>
        <v>14.5607713806807</v>
      </c>
      <c r="CK131" s="47" t="n">
        <f aca="false">CK130*$F$3</f>
        <v>13.4449026888016</v>
      </c>
      <c r="CL131" s="47" t="n">
        <f aca="false">CL130*$F$3</f>
        <v>12.3443703948011</v>
      </c>
      <c r="CM131" s="47" t="n">
        <f aca="false">CM130*$F$3</f>
        <v>11.2651306905864</v>
      </c>
      <c r="CN131" s="47" t="n">
        <f aca="false">CN130*$F$3</f>
        <v>10.2129614008204</v>
      </c>
      <c r="CO131" s="47" t="n">
        <f aca="false">CO130*$F$3</f>
        <v>9.19341102085175</v>
      </c>
      <c r="CP131" s="47" t="n">
        <f aca="false">CP130*$F$3</f>
        <v>8.2117477546455</v>
      </c>
      <c r="CQ131" s="47" t="n">
        <f aca="false">CQ130*$F$3</f>
        <v>7.27290855271295</v>
      </c>
      <c r="CR131" s="47" t="n">
        <f aca="false">CR130*$F$3</f>
        <v>6.3814481500419</v>
      </c>
      <c r="CS131" s="47" t="n">
        <f aca="false">CS130*$F$3</f>
        <v>5.54148810402697</v>
      </c>
      <c r="CT131" s="47" t="n">
        <f aca="false">CT130*$F$3</f>
        <v>4.75666583239962</v>
      </c>
      <c r="CU131" s="47" t="n">
        <f aca="false">CU130*$F$3</f>
        <v>4.0300836511586</v>
      </c>
      <c r="CV131" s="47" t="n">
        <f aca="false">CV130*$F$3</f>
        <v>3.3642578125</v>
      </c>
      <c r="CW131" s="47" t="n">
        <f aca="false">CW130*$F$3</f>
        <v>2.76106754274744</v>
      </c>
      <c r="CX131" s="47" t="n">
        <f aca="false">CX130*$F$3</f>
        <v>2.22170408028236</v>
      </c>
      <c r="CY131" s="47" t="n">
        <f aca="false">CY130*$F$3</f>
        <v>1.7466197134742</v>
      </c>
      <c r="CZ131" s="47" t="n">
        <f aca="false">CZ130*$F$3</f>
        <v>1.33547681861054</v>
      </c>
      <c r="DA131" s="47" t="n">
        <f aca="false">DA130*$F$3</f>
        <v>0.987096897827414</v>
      </c>
      <c r="DB131" s="47" t="n">
        <f aca="false">DB130*$F$3</f>
        <v>0.699409617039452</v>
      </c>
      <c r="DC131" s="47" t="n">
        <f aca="false">DC130*$F$3</f>
        <v>0.469401843870079</v>
      </c>
      <c r="DD131" s="47" t="n">
        <f aca="false">DD130*$F$3</f>
        <v>0.293066685581761</v>
      </c>
      <c r="DE131" s="47" t="n">
        <f aca="false">DE130*$F$3</f>
        <v>0.165352527006173</v>
      </c>
    </row>
    <row r="132" customFormat="false" ht="13.8" hidden="false" customHeight="false" outlineLevel="0" collapsed="false">
      <c r="A132" s="49" t="n">
        <v>0.166666666666667</v>
      </c>
      <c r="B132" s="47" t="n">
        <f aca="false">$F$4+B131+(-0.5*$F$10)+'Planting Calc'!$C$9+IF('Planting Calc'!$C$10="Yes",5,0)</f>
        <v>-11.9698879315256</v>
      </c>
      <c r="C132" s="47" t="n">
        <f aca="false">$F$4+C131+(-0.5*$F$10)+'Planting Calc'!$C$9+IF('Planting Calc'!$C$10="Yes",5,0)</f>
        <v>-12.0199486362527</v>
      </c>
      <c r="D132" s="47" t="n">
        <f aca="false">$F$4+D131+(-0.5*$F$10)+'Planting Calc'!$C$9+IF('Planting Calc'!$C$10="Yes",5,0)</f>
        <v>-12.0433211420547</v>
      </c>
      <c r="E132" s="47" t="n">
        <f aca="false">$F$4+E131+(-0.5*$F$10)+'Planting Calc'!$C$9+IF('Planting Calc'!$C$10="Yes",5,0)</f>
        <v>-12.0497455745208</v>
      </c>
      <c r="F132" s="47" t="n">
        <f aca="false">$F$4+F131+(-0.5*$F$10)+'Planting Calc'!$C$9+IF('Planting Calc'!$C$10="Yes",5,0)</f>
        <v>-12.0497455745208</v>
      </c>
      <c r="G132" s="47" t="n">
        <f aca="false">$F$4+G131+(-0.5*$F$10)+'Planting Calc'!$C$9+IF('Planting Calc'!$C$10="Yes",5,0)</f>
        <v>-12.0433211420547</v>
      </c>
      <c r="H132" s="47" t="n">
        <f aca="false">$F$4+H131+(-0.5*$F$10)+'Planting Calc'!$C$9+IF('Planting Calc'!$C$10="Yes",5,0)</f>
        <v>-12.0199486362527</v>
      </c>
      <c r="I132" s="47" t="n">
        <f aca="false">$F$4+I131+(-0.5*$F$10)+'Planting Calc'!$C$9+IF('Planting Calc'!$C$10="Yes",5,0)</f>
        <v>-11.9698879315256</v>
      </c>
      <c r="J132" s="47" t="n">
        <f aca="false">$F$4+J131+(-0.5*$F$10)+'Planting Calc'!$C$9+IF('Planting Calc'!$C$10="Yes",5,0)</f>
        <v>-11.8846474729938</v>
      </c>
      <c r="K132" s="47" t="n">
        <f aca="false">$F$4+K131+(-0.5*$F$10)+'Planting Calc'!$C$9+IF('Planting Calc'!$C$10="Yes",5,0)</f>
        <v>-11.7569333144182</v>
      </c>
      <c r="L132" s="47" t="n">
        <f aca="false">$F$4+L131+(-0.5*$F$10)+'Planting Calc'!$C$9+IF('Planting Calc'!$C$10="Yes",5,0)</f>
        <v>-11.5805981561299</v>
      </c>
      <c r="M132" s="47" t="n">
        <f aca="false">$F$4+M131+(-0.5*$F$10)+'Planting Calc'!$C$9+IF('Planting Calc'!$C$10="Yes",5,0)</f>
        <v>-11.3505903829605</v>
      </c>
      <c r="N132" s="47" t="n">
        <f aca="false">$F$4+N131+(-0.5*$F$10)+'Planting Calc'!$C$9+IF('Planting Calc'!$C$10="Yes",5,0)</f>
        <v>-11.0629031021726</v>
      </c>
      <c r="O132" s="47" t="n">
        <f aca="false">$F$4+O131+(-0.5*$F$10)+'Planting Calc'!$C$9+IF('Planting Calc'!$C$10="Yes",5,0)</f>
        <v>-10.7145231813895</v>
      </c>
      <c r="P132" s="47" t="n">
        <f aca="false">$F$4+P131+(-0.5*$F$10)+'Planting Calc'!$C$9+IF('Planting Calc'!$C$10="Yes",5,0)</f>
        <v>-10.3033802865258</v>
      </c>
      <c r="Q132" s="47" t="n">
        <f aca="false">$F$4+Q131+(-0.5*$F$10)+'Planting Calc'!$C$9+IF('Planting Calc'!$C$10="Yes",5,0)</f>
        <v>-9.82829591971764</v>
      </c>
      <c r="R132" s="47" t="n">
        <f aca="false">$F$4+R131+(-0.5*$F$10)+'Planting Calc'!$C$9+IF('Planting Calc'!$C$10="Yes",5,0)</f>
        <v>-9.28893245725256</v>
      </c>
      <c r="S132" s="47" t="n">
        <f aca="false">$F$4+S131+(-0.5*$F$10)+'Planting Calc'!$C$9+IF('Planting Calc'!$C$10="Yes",5,0)</f>
        <v>-8.6857421875</v>
      </c>
      <c r="T132" s="47" t="n">
        <f aca="false">$F$4+T131+(-0.5*$F$10)+'Planting Calc'!$C$9+IF('Planting Calc'!$C$10="Yes",5,0)</f>
        <v>-8.0199163488414</v>
      </c>
      <c r="U132" s="47" t="n">
        <f aca="false">$F$4+U131+(-0.5*$F$10)+'Planting Calc'!$C$9+IF('Planting Calc'!$C$10="Yes",5,0)</f>
        <v>-7.29333416760038</v>
      </c>
      <c r="V132" s="47" t="n">
        <f aca="false">$F$4+V131+(-0.5*$F$10)+'Planting Calc'!$C$9+IF('Planting Calc'!$C$10="Yes",5,0)</f>
        <v>-6.50851189597306</v>
      </c>
      <c r="W132" s="47" t="n">
        <f aca="false">$F$4+W131+(-0.5*$F$10)+'Planting Calc'!$C$9+IF('Planting Calc'!$C$10="Yes",5,0)</f>
        <v>-5.6685518499581</v>
      </c>
      <c r="X132" s="47" t="n">
        <f aca="false">$F$4+X131+(-0.5*$F$10)+'Planting Calc'!$C$9+IF('Planting Calc'!$C$10="Yes",5,0)</f>
        <v>-4.77709144728705</v>
      </c>
      <c r="Y132" s="47" t="n">
        <f aca="false">$F$4+Y131+(-0.5*$F$10)+'Planting Calc'!$C$9+IF('Planting Calc'!$C$10="Yes",5,0)</f>
        <v>-3.8382522453545</v>
      </c>
      <c r="Z132" s="47" t="n">
        <f aca="false">$F$4+Z131+(-0.5*$F$10)+'Planting Calc'!$C$9+IF('Planting Calc'!$C$10="Yes",5,0)</f>
        <v>-2.85658897914828</v>
      </c>
      <c r="AA132" s="47" t="n">
        <f aca="false">$F$4+AA131+(-0.5*$F$10)+'Planting Calc'!$C$9+IF('Planting Calc'!$C$10="Yes",5,0)</f>
        <v>-1.83703859917964</v>
      </c>
      <c r="AB132" s="47" t="n">
        <f aca="false">$F$4+AB131+(-0.5*$F$10)+'Planting Calc'!$C$9+IF('Planting Calc'!$C$10="Yes",5,0)</f>
        <v>-0.784869309413565</v>
      </c>
      <c r="AC132" s="47" t="n">
        <f aca="false">$F$4+AC131+(-0.5*$F$10)+'Planting Calc'!$C$9+IF('Planting Calc'!$C$10="Yes",5,0)</f>
        <v>0.294370394801121</v>
      </c>
      <c r="AD132" s="47" t="n">
        <f aca="false">$F$4+AD131+(-0.5*$F$10)+'Planting Calc'!$C$9+IF('Planting Calc'!$C$10="Yes",5,0)</f>
        <v>1.39490268880161</v>
      </c>
      <c r="AE132" s="47" t="n">
        <f aca="false">$F$4+AE131+(-0.5*$F$10)+'Planting Calc'!$C$9+IF('Planting Calc'!$C$10="Yes",5,0)</f>
        <v>2.51077138068065</v>
      </c>
      <c r="AF132" s="47" t="n">
        <f aca="false">$F$4+AF131+(-0.5*$F$10)+'Planting Calc'!$C$9+IF('Planting Calc'!$C$10="Yes",5,0)</f>
        <v>3.63589287335668</v>
      </c>
      <c r="AG132" s="47" t="n">
        <f aca="false">$F$4+AG131+(-0.5*$F$10)+'Planting Calc'!$C$9+IF('Planting Calc'!$C$10="Yes",5,0)</f>
        <v>4.76410712664332</v>
      </c>
      <c r="AH132" s="47" t="n">
        <f aca="false">$F$4+AH131+(-0.5*$F$10)+'Planting Calc'!$C$9+IF('Planting Calc'!$C$10="Yes",5,0)</f>
        <v>5.88922861931934</v>
      </c>
      <c r="AI132" s="47" t="n">
        <f aca="false">$F$4+AI131+(-0.5*$F$10)+'Planting Calc'!$C$9+IF('Planting Calc'!$C$10="Yes",5,0)</f>
        <v>7.00509731119839</v>
      </c>
      <c r="AJ132" s="47" t="n">
        <f aca="false">$F$4+AJ131+(-0.5*$F$10)+'Planting Calc'!$C$9+IF('Planting Calc'!$C$10="Yes",5,0)</f>
        <v>8.10562960519888</v>
      </c>
      <c r="AK132" s="47" t="n">
        <f aca="false">$F$4+AK131+(-0.5*$F$10)+'Planting Calc'!$C$9+IF('Planting Calc'!$C$10="Yes",5,0)</f>
        <v>9.1848693094136</v>
      </c>
      <c r="AL132" s="47" t="n">
        <f aca="false">$F$4+AL131+(-0.5*$F$10)+'Planting Calc'!$C$9+IF('Planting Calc'!$C$10="Yes",5,0)</f>
        <v>10.2370385991797</v>
      </c>
      <c r="AM132" s="47" t="n">
        <f aca="false">$F$4+AM131+(-0.5*$F$10)+'Planting Calc'!$C$9+IF('Planting Calc'!$C$10="Yes",5,0)</f>
        <v>11.2565889791482</v>
      </c>
      <c r="AN132" s="47" t="n">
        <f aca="false">$F$4+AN131+(-0.5*$F$10)+'Planting Calc'!$C$9+IF('Planting Calc'!$C$10="Yes",5,0)</f>
        <v>12.2382522453545</v>
      </c>
      <c r="AO132" s="47" t="n">
        <f aca="false">$F$4+AO131+(-0.5*$F$10)+'Planting Calc'!$C$9+IF('Planting Calc'!$C$10="Yes",5,0)</f>
        <v>13.177091447287</v>
      </c>
      <c r="AP132" s="47" t="n">
        <f aca="false">$F$4+AP131+(-0.5*$F$10)+'Planting Calc'!$C$9+IF('Planting Calc'!$C$10="Yes",5,0)</f>
        <v>14.0685518499581</v>
      </c>
      <c r="AQ132" s="47" t="n">
        <f aca="false">$F$4+AQ131+(-0.5*$F$10)+'Planting Calc'!$C$9+IF('Planting Calc'!$C$10="Yes",5,0)</f>
        <v>14.9085118959731</v>
      </c>
      <c r="AR132" s="47" t="n">
        <f aca="false">$F$4+AR131+(-0.5*$F$10)+'Planting Calc'!$C$9+IF('Planting Calc'!$C$10="Yes",5,0)</f>
        <v>15.6933341676004</v>
      </c>
      <c r="AS132" s="47" t="n">
        <f aca="false">$F$4+AS131+(-0.5*$F$10)+'Planting Calc'!$C$9+IF('Planting Calc'!$C$10="Yes",5,0)</f>
        <v>16.4199163488414</v>
      </c>
      <c r="AT132" s="47" t="n">
        <f aca="false">$F$4+AT131+(-0.5*$F$10)+'Planting Calc'!$C$9+IF('Planting Calc'!$C$10="Yes",5,0)</f>
        <v>17.0857421875</v>
      </c>
      <c r="AU132" s="47" t="n">
        <f aca="false">$F$4+AU131+(-0.5*$F$10)+'Planting Calc'!$C$9+IF('Planting Calc'!$C$10="Yes",5,0)</f>
        <v>17.6889324572526</v>
      </c>
      <c r="AV132" s="47" t="n">
        <f aca="false">$F$4+AV131+(-0.5*$F$10)+'Planting Calc'!$C$9+IF('Planting Calc'!$C$10="Yes",5,0)</f>
        <v>18.2282959197176</v>
      </c>
      <c r="AW132" s="47" t="n">
        <f aca="false">$F$4+AW131+(-0.5*$F$10)+'Planting Calc'!$C$9+IF('Planting Calc'!$C$10="Yes",5,0)</f>
        <v>18.7033802865258</v>
      </c>
      <c r="AX132" s="47" t="n">
        <f aca="false">$F$4+AX131+(-0.5*$F$10)+'Planting Calc'!$C$9+IF('Planting Calc'!$C$10="Yes",5,0)</f>
        <v>19.1145231813895</v>
      </c>
      <c r="AY132" s="47" t="n">
        <f aca="false">$F$4+AY131+(-0.5*$F$10)+'Planting Calc'!$C$9+IF('Planting Calc'!$C$10="Yes",5,0)</f>
        <v>19.4629031021726</v>
      </c>
      <c r="AZ132" s="47" t="n">
        <f aca="false">$F$4+AZ131+(-0.5*$F$10)+'Planting Calc'!$C$9+IF('Planting Calc'!$C$10="Yes",5,0)</f>
        <v>19.7505903829606</v>
      </c>
      <c r="BA132" s="47" t="n">
        <f aca="false">$F$4+BA131+(-0.5*$F$10)+'Planting Calc'!$C$9+IF('Planting Calc'!$C$10="Yes",5,0)</f>
        <v>19.9805981561299</v>
      </c>
      <c r="BB132" s="47" t="n">
        <f aca="false">$F$4+BB131+(-0.5*$F$10)+'Planting Calc'!$C$9+IF('Planting Calc'!$C$10="Yes",5,0)</f>
        <v>20.1569333144183</v>
      </c>
      <c r="BC132" s="47" t="n">
        <f aca="false">$F$4+BC131+(-0.5*$F$10)+'Planting Calc'!$C$9+IF('Planting Calc'!$C$10="Yes",5,0)</f>
        <v>20.2846474729938</v>
      </c>
      <c r="BD132" s="47" t="n">
        <f aca="false">$F$4+BD131+(-0.5*$F$10)+'Planting Calc'!$C$9+IF('Planting Calc'!$C$10="Yes",5,0)</f>
        <v>20.3698879315256</v>
      </c>
      <c r="BE132" s="47" t="n">
        <f aca="false">$F$4+BE131+(-0.5*$F$10)+'Planting Calc'!$C$9+IF('Planting Calc'!$C$10="Yes",5,0)</f>
        <v>20.4199486362528</v>
      </c>
      <c r="BF132" s="47" t="n">
        <f aca="false">$F$4+BF131+(-0.5*$F$10)+'Planting Calc'!$C$9+IF('Planting Calc'!$C$10="Yes",5,0)</f>
        <v>20.4433211420547</v>
      </c>
      <c r="BG132" s="47" t="n">
        <f aca="false">$F$4+BG131+(-0.5*$F$10)+'Planting Calc'!$C$9+IF('Planting Calc'!$C$10="Yes",5,0)</f>
        <v>20.4497455745209</v>
      </c>
      <c r="BH132" s="47" t="n">
        <f aca="false">$F$4+BH131+(-0.5*$F$10)+'Planting Calc'!$C$9+IF('Planting Calc'!$C$10="Yes",5,0)</f>
        <v>20.4497455745209</v>
      </c>
      <c r="BI132" s="47" t="n">
        <f aca="false">$F$4+BI131+(-0.5*$F$10)+'Planting Calc'!$C$9+IF('Planting Calc'!$C$10="Yes",5,0)</f>
        <v>20.4433211420547</v>
      </c>
      <c r="BJ132" s="47" t="n">
        <f aca="false">$F$4+BJ131+(-0.5*$F$10)+'Planting Calc'!$C$9+IF('Planting Calc'!$C$10="Yes",5,0)</f>
        <v>20.4199486362527</v>
      </c>
      <c r="BK132" s="47" t="n">
        <f aca="false">$F$4+BK131+(-0.5*$F$10)+'Planting Calc'!$C$9+IF('Planting Calc'!$C$10="Yes",5,0)</f>
        <v>20.3698879315255</v>
      </c>
      <c r="BL132" s="47" t="n">
        <f aca="false">$F$4+BL131+(-0.5*$F$10)+'Planting Calc'!$C$9+IF('Planting Calc'!$C$10="Yes",5,0)</f>
        <v>20.2846474729938</v>
      </c>
      <c r="BM132" s="47" t="n">
        <f aca="false">$F$4+BM131+(-0.5*$F$10)+'Planting Calc'!$C$9+IF('Planting Calc'!$C$10="Yes",5,0)</f>
        <v>20.1569333144183</v>
      </c>
      <c r="BN132" s="47" t="n">
        <f aca="false">$F$4+BN131+(-0.5*$F$10)+'Planting Calc'!$C$9+IF('Planting Calc'!$C$10="Yes",5,0)</f>
        <v>19.9805981561299</v>
      </c>
      <c r="BO132" s="47" t="n">
        <f aca="false">$F$4+BO131+(-0.5*$F$10)+'Planting Calc'!$C$9+IF('Planting Calc'!$C$10="Yes",5,0)</f>
        <v>19.7505903829606</v>
      </c>
      <c r="BP132" s="47" t="n">
        <f aca="false">$F$4+BP131+(-0.5*$F$10)+'Planting Calc'!$C$9+IF('Planting Calc'!$C$10="Yes",5,0)</f>
        <v>19.4629031021726</v>
      </c>
      <c r="BQ132" s="47" t="n">
        <f aca="false">$F$4+BQ131+(-0.5*$F$10)+'Planting Calc'!$C$9+IF('Planting Calc'!$C$10="Yes",5,0)</f>
        <v>19.1145231813895</v>
      </c>
      <c r="BR132" s="47" t="n">
        <f aca="false">$F$4+BR131+(-0.5*$F$10)+'Planting Calc'!$C$9+IF('Planting Calc'!$C$10="Yes",5,0)</f>
        <v>18.7033802865258</v>
      </c>
      <c r="BS132" s="47" t="n">
        <f aca="false">$F$4+BS131+(-0.5*$F$10)+'Planting Calc'!$C$9+IF('Planting Calc'!$C$10="Yes",5,0)</f>
        <v>18.2282959197176</v>
      </c>
      <c r="BT132" s="47" t="n">
        <f aca="false">$F$4+BT131+(-0.5*$F$10)+'Planting Calc'!$C$9+IF('Planting Calc'!$C$10="Yes",5,0)</f>
        <v>17.6889324572526</v>
      </c>
      <c r="BU132" s="47" t="n">
        <f aca="false">$F$4+BU131+(-0.5*$F$10)+'Planting Calc'!$C$9+IF('Planting Calc'!$C$10="Yes",5,0)</f>
        <v>17.0857421875</v>
      </c>
      <c r="BV132" s="47" t="n">
        <f aca="false">$F$4+BV131+(-0.5*$F$10)+'Planting Calc'!$C$9+IF('Planting Calc'!$C$10="Yes",5,0)</f>
        <v>16.4199163488414</v>
      </c>
      <c r="BW132" s="47" t="n">
        <f aca="false">$F$4+BW131+(-0.5*$F$10)+'Planting Calc'!$C$9+IF('Planting Calc'!$C$10="Yes",5,0)</f>
        <v>15.6933341676004</v>
      </c>
      <c r="BX132" s="47" t="n">
        <f aca="false">$F$4+BX131+(-0.5*$F$10)+'Planting Calc'!$C$9+IF('Planting Calc'!$C$10="Yes",5,0)</f>
        <v>14.9085118959731</v>
      </c>
      <c r="BY132" s="47" t="n">
        <f aca="false">$F$4+BY131+(-0.5*$F$10)+'Planting Calc'!$C$9+IF('Planting Calc'!$C$10="Yes",5,0)</f>
        <v>14.0685518499581</v>
      </c>
      <c r="BZ132" s="47" t="n">
        <f aca="false">$F$4+BZ131+(-0.5*$F$10)+'Planting Calc'!$C$9+IF('Planting Calc'!$C$10="Yes",5,0)</f>
        <v>13.177091447287</v>
      </c>
      <c r="CA132" s="47" t="n">
        <f aca="false">$F$4+CA131+(-0.5*$F$10)+'Planting Calc'!$C$9+IF('Planting Calc'!$C$10="Yes",5,0)</f>
        <v>12.2382522453545</v>
      </c>
      <c r="CB132" s="47" t="n">
        <f aca="false">$F$4+CB131+(-0.5*$F$10)+'Planting Calc'!$C$9+IF('Planting Calc'!$C$10="Yes",5,0)</f>
        <v>11.2565889791482</v>
      </c>
      <c r="CC132" s="47" t="n">
        <f aca="false">$F$4+CC131+(-0.5*$F$10)+'Planting Calc'!$C$9+IF('Planting Calc'!$C$10="Yes",5,0)</f>
        <v>10.2370385991796</v>
      </c>
      <c r="CD132" s="47" t="n">
        <f aca="false">$F$4+CD131+(-0.5*$F$10)+'Planting Calc'!$C$9+IF('Planting Calc'!$C$10="Yes",5,0)</f>
        <v>9.1848693094136</v>
      </c>
      <c r="CE132" s="47" t="n">
        <f aca="false">$F$4+CE131+(-0.5*$F$10)+'Planting Calc'!$C$9+IF('Planting Calc'!$C$10="Yes",5,0)</f>
        <v>8.10562960519888</v>
      </c>
      <c r="CF132" s="47" t="n">
        <f aca="false">$F$4+CF131+(-0.5*$F$10)+'Planting Calc'!$C$9+IF('Planting Calc'!$C$10="Yes",5,0)</f>
        <v>7.00509731119842</v>
      </c>
      <c r="CG132" s="47" t="n">
        <f aca="false">$F$4+CG131+(-0.5*$F$10)+'Planting Calc'!$C$9+IF('Planting Calc'!$C$10="Yes",5,0)</f>
        <v>5.88922861931934</v>
      </c>
      <c r="CH132" s="47" t="n">
        <f aca="false">$F$4+CH131+(-0.5*$F$10)+'Planting Calc'!$C$9+IF('Planting Calc'!$C$10="Yes",5,0)</f>
        <v>4.76410712664332</v>
      </c>
      <c r="CI132" s="47" t="n">
        <f aca="false">$F$4+CI131+(-0.5*$F$10)+'Planting Calc'!$C$9+IF('Planting Calc'!$C$10="Yes",5,0)</f>
        <v>3.63589287335668</v>
      </c>
      <c r="CJ132" s="47" t="n">
        <f aca="false">$F$4+CJ131+(-0.5*$F$10)+'Planting Calc'!$C$9+IF('Planting Calc'!$C$10="Yes",5,0)</f>
        <v>2.51077138068065</v>
      </c>
      <c r="CK132" s="47" t="n">
        <f aca="false">$F$4+CK131+(-0.5*$F$10)+'Planting Calc'!$C$9+IF('Planting Calc'!$C$10="Yes",5,0)</f>
        <v>1.39490268880161</v>
      </c>
      <c r="CL132" s="47" t="n">
        <f aca="false">$F$4+CL131+(-0.5*$F$10)+'Planting Calc'!$C$9+IF('Planting Calc'!$C$10="Yes",5,0)</f>
        <v>0.294370394801121</v>
      </c>
      <c r="CM132" s="47" t="n">
        <f aca="false">$F$4+CM131+(-0.5*$F$10)+'Planting Calc'!$C$9+IF('Planting Calc'!$C$10="Yes",5,0)</f>
        <v>-0.784869309413565</v>
      </c>
      <c r="CN132" s="47" t="n">
        <f aca="false">$F$4+CN131+(-0.5*$F$10)+'Planting Calc'!$C$9+IF('Planting Calc'!$C$10="Yes",5,0)</f>
        <v>-1.83703859917964</v>
      </c>
      <c r="CO132" s="47" t="n">
        <f aca="false">$F$4+CO131+(-0.5*$F$10)+'Planting Calc'!$C$9+IF('Planting Calc'!$C$10="Yes",5,0)</f>
        <v>-2.85658897914825</v>
      </c>
      <c r="CP132" s="47" t="n">
        <f aca="false">$F$4+CP131+(-0.5*$F$10)+'Planting Calc'!$C$9+IF('Planting Calc'!$C$10="Yes",5,0)</f>
        <v>-3.8382522453545</v>
      </c>
      <c r="CQ132" s="47" t="n">
        <f aca="false">$F$4+CQ131+(-0.5*$F$10)+'Planting Calc'!$C$9+IF('Planting Calc'!$C$10="Yes",5,0)</f>
        <v>-4.77709144728705</v>
      </c>
      <c r="CR132" s="47" t="n">
        <f aca="false">$F$4+CR131+(-0.5*$F$10)+'Planting Calc'!$C$9+IF('Planting Calc'!$C$10="Yes",5,0)</f>
        <v>-5.6685518499581</v>
      </c>
      <c r="CS132" s="47" t="n">
        <f aca="false">$F$4+CS131+(-0.5*$F$10)+'Planting Calc'!$C$9+IF('Planting Calc'!$C$10="Yes",5,0)</f>
        <v>-6.50851189597303</v>
      </c>
      <c r="CT132" s="47" t="n">
        <f aca="false">$F$4+CT131+(-0.5*$F$10)+'Planting Calc'!$C$9+IF('Planting Calc'!$C$10="Yes",5,0)</f>
        <v>-7.29333416760038</v>
      </c>
      <c r="CU132" s="47" t="n">
        <f aca="false">$F$4+CU131+(-0.5*$F$10)+'Planting Calc'!$C$9+IF('Planting Calc'!$C$10="Yes",5,0)</f>
        <v>-8.0199163488414</v>
      </c>
      <c r="CV132" s="47" t="n">
        <f aca="false">$F$4+CV131+(-0.5*$F$10)+'Planting Calc'!$C$9+IF('Planting Calc'!$C$10="Yes",5,0)</f>
        <v>-8.6857421875</v>
      </c>
      <c r="CW132" s="47" t="n">
        <f aca="false">$F$4+CW131+(-0.5*$F$10)+'Planting Calc'!$C$9+IF('Planting Calc'!$C$10="Yes",5,0)</f>
        <v>-9.28893245725256</v>
      </c>
      <c r="CX132" s="47" t="n">
        <f aca="false">$F$4+CX131+(-0.5*$F$10)+'Planting Calc'!$C$9+IF('Planting Calc'!$C$10="Yes",5,0)</f>
        <v>-9.82829591971764</v>
      </c>
      <c r="CY132" s="47" t="n">
        <f aca="false">$F$4+CY131+(-0.5*$F$10)+'Planting Calc'!$C$9+IF('Planting Calc'!$C$10="Yes",5,0)</f>
        <v>-10.3033802865258</v>
      </c>
      <c r="CZ132" s="47" t="n">
        <f aca="false">$F$4+CZ131+(-0.5*$F$10)+'Planting Calc'!$C$9+IF('Planting Calc'!$C$10="Yes",5,0)</f>
        <v>-10.7145231813895</v>
      </c>
      <c r="DA132" s="47" t="n">
        <f aca="false">$F$4+DA131+(-0.5*$F$10)+'Planting Calc'!$C$9+IF('Planting Calc'!$C$10="Yes",5,0)</f>
        <v>-11.0629031021726</v>
      </c>
      <c r="DB132" s="47" t="n">
        <f aca="false">$F$4+DB131+(-0.5*$F$10)+'Planting Calc'!$C$9+IF('Planting Calc'!$C$10="Yes",5,0)</f>
        <v>-11.3505903829605</v>
      </c>
      <c r="DC132" s="47" t="n">
        <f aca="false">$F$4+DC131+(-0.5*$F$10)+'Planting Calc'!$C$9+IF('Planting Calc'!$C$10="Yes",5,0)</f>
        <v>-11.5805981561299</v>
      </c>
      <c r="DD132" s="47" t="n">
        <f aca="false">$F$4+DD131+(-0.5*$F$10)+'Planting Calc'!$C$9+IF('Planting Calc'!$C$10="Yes",5,0)</f>
        <v>-11.7569333144182</v>
      </c>
      <c r="DE132" s="47" t="n">
        <f aca="false">$F$4+DE131+(-0.5*$F$10)+'Planting Calc'!$C$9+IF('Planting Calc'!$C$10="Yes",5,0)</f>
        <v>-11.8846474729938</v>
      </c>
    </row>
    <row r="133" customFormat="false" ht="13.8" hidden="false" customHeight="false" outlineLevel="0" collapsed="false">
      <c r="A133" s="50" t="n">
        <v>0.666666666666667</v>
      </c>
      <c r="B133" s="47" t="n">
        <f aca="false">$F$4+B131+(0.5*$F$10)+'Planting Calc'!$C$9+IF('Planting Calc'!$C$10="Yes",5,0)</f>
        <v>-4.36988793152557</v>
      </c>
      <c r="C133" s="47" t="n">
        <f aca="false">$F$4+C131+(0.5*$F$10)+'Planting Calc'!$C$9+IF('Planting Calc'!$C$10="Yes",5,0)</f>
        <v>-4.41994863625273</v>
      </c>
      <c r="D133" s="47" t="n">
        <f aca="false">$F$4+D131+(0.5*$F$10)+'Planting Calc'!$C$9+IF('Planting Calc'!$C$10="Yes",5,0)</f>
        <v>-4.44332114205469</v>
      </c>
      <c r="E133" s="47" t="n">
        <f aca="false">$F$4+E131+(0.5*$F$10)+'Planting Calc'!$C$9+IF('Planting Calc'!$C$10="Yes",5,0)</f>
        <v>-4.44974557452083</v>
      </c>
      <c r="F133" s="47" t="n">
        <f aca="false">$F$4+F131+(0.5*$F$10)+'Planting Calc'!$C$9+IF('Planting Calc'!$C$10="Yes",5,0)</f>
        <v>-4.44974557452083</v>
      </c>
      <c r="G133" s="47" t="n">
        <f aca="false">$F$4+G131+(0.5*$F$10)+'Planting Calc'!$C$9+IF('Planting Calc'!$C$10="Yes",5,0)</f>
        <v>-4.44332114205469</v>
      </c>
      <c r="H133" s="47" t="n">
        <f aca="false">$F$4+H131+(0.5*$F$10)+'Planting Calc'!$C$9+IF('Planting Calc'!$C$10="Yes",5,0)</f>
        <v>-4.41994863625273</v>
      </c>
      <c r="I133" s="47" t="n">
        <f aca="false">$F$4+I131+(0.5*$F$10)+'Planting Calc'!$C$9+IF('Planting Calc'!$C$10="Yes",5,0)</f>
        <v>-4.36988793152557</v>
      </c>
      <c r="J133" s="47" t="n">
        <f aca="false">$F$4+J131+(0.5*$F$10)+'Planting Calc'!$C$9+IF('Planting Calc'!$C$10="Yes",5,0)</f>
        <v>-4.28464747299383</v>
      </c>
      <c r="K133" s="47" t="n">
        <f aca="false">$F$4+K131+(0.5*$F$10)+'Planting Calc'!$C$9+IF('Planting Calc'!$C$10="Yes",5,0)</f>
        <v>-4.15693331441824</v>
      </c>
      <c r="L133" s="47" t="n">
        <f aca="false">$F$4+L131+(0.5*$F$10)+'Planting Calc'!$C$9+IF('Planting Calc'!$C$10="Yes",5,0)</f>
        <v>-3.98059815612992</v>
      </c>
      <c r="M133" s="47" t="n">
        <f aca="false">$F$4+M131+(0.5*$F$10)+'Planting Calc'!$C$9+IF('Planting Calc'!$C$10="Yes",5,0)</f>
        <v>-3.75059038296055</v>
      </c>
      <c r="N133" s="47" t="n">
        <f aca="false">$F$4+N131+(0.5*$F$10)+'Planting Calc'!$C$9+IF('Planting Calc'!$C$10="Yes",5,0)</f>
        <v>-3.46290310217259</v>
      </c>
      <c r="O133" s="47" t="n">
        <f aca="false">$F$4+O131+(0.5*$F$10)+'Planting Calc'!$C$9+IF('Planting Calc'!$C$10="Yes",5,0)</f>
        <v>-3.11452318138947</v>
      </c>
      <c r="P133" s="47" t="n">
        <f aca="false">$F$4+P131+(0.5*$F$10)+'Planting Calc'!$C$9+IF('Planting Calc'!$C$10="Yes",5,0)</f>
        <v>-2.70338028652581</v>
      </c>
      <c r="Q133" s="47" t="n">
        <f aca="false">$F$4+Q131+(0.5*$F$10)+'Planting Calc'!$C$9+IF('Planting Calc'!$C$10="Yes",5,0)</f>
        <v>-2.22829591971764</v>
      </c>
      <c r="R133" s="47" t="n">
        <f aca="false">$F$4+R131+(0.5*$F$10)+'Planting Calc'!$C$9+IF('Planting Calc'!$C$10="Yes",5,0)</f>
        <v>-1.68893245725256</v>
      </c>
      <c r="S133" s="47" t="n">
        <f aca="false">$F$4+S131+(0.5*$F$10)+'Planting Calc'!$C$9+IF('Planting Calc'!$C$10="Yes",5,0)</f>
        <v>-1.0857421875</v>
      </c>
      <c r="T133" s="47" t="n">
        <f aca="false">$F$4+T131+(0.5*$F$10)+'Planting Calc'!$C$9+IF('Planting Calc'!$C$10="Yes",5,0)</f>
        <v>-0.419916348841402</v>
      </c>
      <c r="U133" s="47" t="n">
        <f aca="false">$F$4+U131+(0.5*$F$10)+'Planting Calc'!$C$9+IF('Planting Calc'!$C$10="Yes",5,0)</f>
        <v>0.306665832399617</v>
      </c>
      <c r="V133" s="47" t="n">
        <f aca="false">$F$4+V131+(0.5*$F$10)+'Planting Calc'!$C$9+IF('Planting Calc'!$C$10="Yes",5,0)</f>
        <v>1.09148810402694</v>
      </c>
      <c r="W133" s="47" t="n">
        <f aca="false">$F$4+W131+(0.5*$F$10)+'Planting Calc'!$C$9+IF('Planting Calc'!$C$10="Yes",5,0)</f>
        <v>1.9314481500419</v>
      </c>
      <c r="X133" s="47" t="n">
        <f aca="false">$F$4+X131+(0.5*$F$10)+'Planting Calc'!$C$9+IF('Planting Calc'!$C$10="Yes",5,0)</f>
        <v>2.82290855271295</v>
      </c>
      <c r="Y133" s="47" t="n">
        <f aca="false">$F$4+Y131+(0.5*$F$10)+'Planting Calc'!$C$9+IF('Planting Calc'!$C$10="Yes",5,0)</f>
        <v>3.7617477546455</v>
      </c>
      <c r="Z133" s="47" t="n">
        <f aca="false">$F$4+Z131+(0.5*$F$10)+'Planting Calc'!$C$9+IF('Planting Calc'!$C$10="Yes",5,0)</f>
        <v>4.74341102085172</v>
      </c>
      <c r="AA133" s="47" t="n">
        <f aca="false">$F$4+AA131+(0.5*$F$10)+'Planting Calc'!$C$9+IF('Planting Calc'!$C$10="Yes",5,0)</f>
        <v>5.76296140082036</v>
      </c>
      <c r="AB133" s="47" t="n">
        <f aca="false">$F$4+AB131+(0.5*$F$10)+'Planting Calc'!$C$9+IF('Planting Calc'!$C$10="Yes",5,0)</f>
        <v>6.81513069058644</v>
      </c>
      <c r="AC133" s="47" t="n">
        <f aca="false">$F$4+AC131+(0.5*$F$10)+'Planting Calc'!$C$9+IF('Planting Calc'!$C$10="Yes",5,0)</f>
        <v>7.89437039480112</v>
      </c>
      <c r="AD133" s="47" t="n">
        <f aca="false">$F$4+AD131+(0.5*$F$10)+'Planting Calc'!$C$9+IF('Planting Calc'!$C$10="Yes",5,0)</f>
        <v>8.99490268880161</v>
      </c>
      <c r="AE133" s="47" t="n">
        <f aca="false">$F$4+AE131+(0.5*$F$10)+'Planting Calc'!$C$9+IF('Planting Calc'!$C$10="Yes",5,0)</f>
        <v>10.1107713806807</v>
      </c>
      <c r="AF133" s="47" t="n">
        <f aca="false">$F$4+AF131+(0.5*$F$10)+'Planting Calc'!$C$9+IF('Planting Calc'!$C$10="Yes",5,0)</f>
        <v>11.2358928733567</v>
      </c>
      <c r="AG133" s="47" t="n">
        <f aca="false">$F$4+AG131+(0.5*$F$10)+'Planting Calc'!$C$9+IF('Planting Calc'!$C$10="Yes",5,0)</f>
        <v>12.3641071266433</v>
      </c>
      <c r="AH133" s="47" t="n">
        <f aca="false">$F$4+AH131+(0.5*$F$10)+'Planting Calc'!$C$9+IF('Planting Calc'!$C$10="Yes",5,0)</f>
        <v>13.4892286193193</v>
      </c>
      <c r="AI133" s="47" t="n">
        <f aca="false">$F$4+AI131+(0.5*$F$10)+'Planting Calc'!$C$9+IF('Planting Calc'!$C$10="Yes",5,0)</f>
        <v>14.6050973111984</v>
      </c>
      <c r="AJ133" s="47" t="n">
        <f aca="false">$F$4+AJ131+(0.5*$F$10)+'Planting Calc'!$C$9+IF('Planting Calc'!$C$10="Yes",5,0)</f>
        <v>15.7056296051989</v>
      </c>
      <c r="AK133" s="47" t="n">
        <f aca="false">$F$4+AK131+(0.5*$F$10)+'Planting Calc'!$C$9+IF('Planting Calc'!$C$10="Yes",5,0)</f>
        <v>16.7848693094136</v>
      </c>
      <c r="AL133" s="47" t="n">
        <f aca="false">$F$4+AL131+(0.5*$F$10)+'Planting Calc'!$C$9+IF('Planting Calc'!$C$10="Yes",5,0)</f>
        <v>17.8370385991797</v>
      </c>
      <c r="AM133" s="47" t="n">
        <f aca="false">$F$4+AM131+(0.5*$F$10)+'Planting Calc'!$C$9+IF('Planting Calc'!$C$10="Yes",5,0)</f>
        <v>18.8565889791482</v>
      </c>
      <c r="AN133" s="47" t="n">
        <f aca="false">$F$4+AN131+(0.5*$F$10)+'Planting Calc'!$C$9+IF('Planting Calc'!$C$10="Yes",5,0)</f>
        <v>19.8382522453545</v>
      </c>
      <c r="AO133" s="47" t="n">
        <f aca="false">$F$4+AO131+(0.5*$F$10)+'Planting Calc'!$C$9+IF('Planting Calc'!$C$10="Yes",5,0)</f>
        <v>20.7770914472871</v>
      </c>
      <c r="AP133" s="47" t="n">
        <f aca="false">$F$4+AP131+(0.5*$F$10)+'Planting Calc'!$C$9+IF('Planting Calc'!$C$10="Yes",5,0)</f>
        <v>21.6685518499581</v>
      </c>
      <c r="AQ133" s="47" t="n">
        <f aca="false">$F$4+AQ131+(0.5*$F$10)+'Planting Calc'!$C$9+IF('Planting Calc'!$C$10="Yes",5,0)</f>
        <v>22.5085118959731</v>
      </c>
      <c r="AR133" s="47" t="n">
        <f aca="false">$F$4+AR131+(0.5*$F$10)+'Planting Calc'!$C$9+IF('Planting Calc'!$C$10="Yes",5,0)</f>
        <v>23.2933341676004</v>
      </c>
      <c r="AS133" s="47" t="n">
        <f aca="false">$F$4+AS131+(0.5*$F$10)+'Planting Calc'!$C$9+IF('Planting Calc'!$C$10="Yes",5,0)</f>
        <v>24.0199163488414</v>
      </c>
      <c r="AT133" s="47" t="n">
        <f aca="false">$F$4+AT131+(0.5*$F$10)+'Planting Calc'!$C$9+IF('Planting Calc'!$C$10="Yes",5,0)</f>
        <v>24.6857421875</v>
      </c>
      <c r="AU133" s="47" t="n">
        <f aca="false">$F$4+AU131+(0.5*$F$10)+'Planting Calc'!$C$9+IF('Planting Calc'!$C$10="Yes",5,0)</f>
        <v>25.2889324572526</v>
      </c>
      <c r="AV133" s="47" t="n">
        <f aca="false">$F$4+AV131+(0.5*$F$10)+'Planting Calc'!$C$9+IF('Planting Calc'!$C$10="Yes",5,0)</f>
        <v>25.8282959197176</v>
      </c>
      <c r="AW133" s="47" t="n">
        <f aca="false">$F$4+AW131+(0.5*$F$10)+'Planting Calc'!$C$9+IF('Planting Calc'!$C$10="Yes",5,0)</f>
        <v>26.3033802865258</v>
      </c>
      <c r="AX133" s="47" t="n">
        <f aca="false">$F$4+AX131+(0.5*$F$10)+'Planting Calc'!$C$9+IF('Planting Calc'!$C$10="Yes",5,0)</f>
        <v>26.7145231813895</v>
      </c>
      <c r="AY133" s="47" t="n">
        <f aca="false">$F$4+AY131+(0.5*$F$10)+'Planting Calc'!$C$9+IF('Planting Calc'!$C$10="Yes",5,0)</f>
        <v>27.0629031021726</v>
      </c>
      <c r="AZ133" s="47" t="n">
        <f aca="false">$F$4+AZ131+(0.5*$F$10)+'Planting Calc'!$C$9+IF('Planting Calc'!$C$10="Yes",5,0)</f>
        <v>27.3505903829606</v>
      </c>
      <c r="BA133" s="47" t="n">
        <f aca="false">$F$4+BA131+(0.5*$F$10)+'Planting Calc'!$C$9+IF('Planting Calc'!$C$10="Yes",5,0)</f>
        <v>27.5805981561299</v>
      </c>
      <c r="BB133" s="47" t="n">
        <f aca="false">$F$4+BB131+(0.5*$F$10)+'Planting Calc'!$C$9+IF('Planting Calc'!$C$10="Yes",5,0)</f>
        <v>27.7569333144183</v>
      </c>
      <c r="BC133" s="47" t="n">
        <f aca="false">$F$4+BC131+(0.5*$F$10)+'Planting Calc'!$C$9+IF('Planting Calc'!$C$10="Yes",5,0)</f>
        <v>27.8846474729938</v>
      </c>
      <c r="BD133" s="47" t="n">
        <f aca="false">$F$4+BD131+(0.5*$F$10)+'Planting Calc'!$C$9+IF('Planting Calc'!$C$10="Yes",5,0)</f>
        <v>27.9698879315256</v>
      </c>
      <c r="BE133" s="47" t="n">
        <f aca="false">$F$4+BE131+(0.5*$F$10)+'Planting Calc'!$C$9+IF('Planting Calc'!$C$10="Yes",5,0)</f>
        <v>28.0199486362528</v>
      </c>
      <c r="BF133" s="47" t="n">
        <f aca="false">$F$4+BF131+(0.5*$F$10)+'Planting Calc'!$C$9+IF('Planting Calc'!$C$10="Yes",5,0)</f>
        <v>28.0433211420547</v>
      </c>
      <c r="BG133" s="47" t="n">
        <f aca="false">$F$4+BG131+(0.5*$F$10)+'Planting Calc'!$C$9+IF('Planting Calc'!$C$10="Yes",5,0)</f>
        <v>28.0497455745209</v>
      </c>
      <c r="BH133" s="47" t="n">
        <f aca="false">$F$4+BH131+(0.5*$F$10)+'Planting Calc'!$C$9+IF('Planting Calc'!$C$10="Yes",5,0)</f>
        <v>28.0497455745209</v>
      </c>
      <c r="BI133" s="47" t="n">
        <f aca="false">$F$4+BI131+(0.5*$F$10)+'Planting Calc'!$C$9+IF('Planting Calc'!$C$10="Yes",5,0)</f>
        <v>28.0433211420547</v>
      </c>
      <c r="BJ133" s="47" t="n">
        <f aca="false">$F$4+BJ131+(0.5*$F$10)+'Planting Calc'!$C$9+IF('Planting Calc'!$C$10="Yes",5,0)</f>
        <v>28.0199486362527</v>
      </c>
      <c r="BK133" s="47" t="n">
        <f aca="false">$F$4+BK131+(0.5*$F$10)+'Planting Calc'!$C$9+IF('Planting Calc'!$C$10="Yes",5,0)</f>
        <v>27.9698879315255</v>
      </c>
      <c r="BL133" s="47" t="n">
        <f aca="false">$F$4+BL131+(0.5*$F$10)+'Planting Calc'!$C$9+IF('Planting Calc'!$C$10="Yes",5,0)</f>
        <v>27.8846474729938</v>
      </c>
      <c r="BM133" s="47" t="n">
        <f aca="false">$F$4+BM131+(0.5*$F$10)+'Planting Calc'!$C$9+IF('Planting Calc'!$C$10="Yes",5,0)</f>
        <v>27.7569333144183</v>
      </c>
      <c r="BN133" s="47" t="n">
        <f aca="false">$F$4+BN131+(0.5*$F$10)+'Planting Calc'!$C$9+IF('Planting Calc'!$C$10="Yes",5,0)</f>
        <v>27.5805981561299</v>
      </c>
      <c r="BO133" s="47" t="n">
        <f aca="false">$F$4+BO131+(0.5*$F$10)+'Planting Calc'!$C$9+IF('Planting Calc'!$C$10="Yes",5,0)</f>
        <v>27.3505903829606</v>
      </c>
      <c r="BP133" s="47" t="n">
        <f aca="false">$F$4+BP131+(0.5*$F$10)+'Planting Calc'!$C$9+IF('Planting Calc'!$C$10="Yes",5,0)</f>
        <v>27.0629031021726</v>
      </c>
      <c r="BQ133" s="47" t="n">
        <f aca="false">$F$4+BQ131+(0.5*$F$10)+'Planting Calc'!$C$9+IF('Planting Calc'!$C$10="Yes",5,0)</f>
        <v>26.7145231813895</v>
      </c>
      <c r="BR133" s="47" t="n">
        <f aca="false">$F$4+BR131+(0.5*$F$10)+'Planting Calc'!$C$9+IF('Planting Calc'!$C$10="Yes",5,0)</f>
        <v>26.3033802865258</v>
      </c>
      <c r="BS133" s="47" t="n">
        <f aca="false">$F$4+BS131+(0.5*$F$10)+'Planting Calc'!$C$9+IF('Planting Calc'!$C$10="Yes",5,0)</f>
        <v>25.8282959197176</v>
      </c>
      <c r="BT133" s="47" t="n">
        <f aca="false">$F$4+BT131+(0.5*$F$10)+'Planting Calc'!$C$9+IF('Planting Calc'!$C$10="Yes",5,0)</f>
        <v>25.2889324572526</v>
      </c>
      <c r="BU133" s="47" t="n">
        <f aca="false">$F$4+BU131+(0.5*$F$10)+'Planting Calc'!$C$9+IF('Planting Calc'!$C$10="Yes",5,0)</f>
        <v>24.6857421875</v>
      </c>
      <c r="BV133" s="47" t="n">
        <f aca="false">$F$4+BV131+(0.5*$F$10)+'Planting Calc'!$C$9+IF('Planting Calc'!$C$10="Yes",5,0)</f>
        <v>24.0199163488414</v>
      </c>
      <c r="BW133" s="47" t="n">
        <f aca="false">$F$4+BW131+(0.5*$F$10)+'Planting Calc'!$C$9+IF('Planting Calc'!$C$10="Yes",5,0)</f>
        <v>23.2933341676004</v>
      </c>
      <c r="BX133" s="47" t="n">
        <f aca="false">$F$4+BX131+(0.5*$F$10)+'Planting Calc'!$C$9+IF('Planting Calc'!$C$10="Yes",5,0)</f>
        <v>22.5085118959731</v>
      </c>
      <c r="BY133" s="47" t="n">
        <f aca="false">$F$4+BY131+(0.5*$F$10)+'Planting Calc'!$C$9+IF('Planting Calc'!$C$10="Yes",5,0)</f>
        <v>21.6685518499581</v>
      </c>
      <c r="BZ133" s="47" t="n">
        <f aca="false">$F$4+BZ131+(0.5*$F$10)+'Planting Calc'!$C$9+IF('Planting Calc'!$C$10="Yes",5,0)</f>
        <v>20.7770914472871</v>
      </c>
      <c r="CA133" s="47" t="n">
        <f aca="false">$F$4+CA131+(0.5*$F$10)+'Planting Calc'!$C$9+IF('Planting Calc'!$C$10="Yes",5,0)</f>
        <v>19.8382522453545</v>
      </c>
      <c r="CB133" s="47" t="n">
        <f aca="false">$F$4+CB131+(0.5*$F$10)+'Planting Calc'!$C$9+IF('Planting Calc'!$C$10="Yes",5,0)</f>
        <v>18.8565889791482</v>
      </c>
      <c r="CC133" s="47" t="n">
        <f aca="false">$F$4+CC131+(0.5*$F$10)+'Planting Calc'!$C$9+IF('Planting Calc'!$C$10="Yes",5,0)</f>
        <v>17.8370385991796</v>
      </c>
      <c r="CD133" s="47" t="n">
        <f aca="false">$F$4+CD131+(0.5*$F$10)+'Planting Calc'!$C$9+IF('Planting Calc'!$C$10="Yes",5,0)</f>
        <v>16.7848693094136</v>
      </c>
      <c r="CE133" s="47" t="n">
        <f aca="false">$F$4+CE131+(0.5*$F$10)+'Planting Calc'!$C$9+IF('Planting Calc'!$C$10="Yes",5,0)</f>
        <v>15.7056296051989</v>
      </c>
      <c r="CF133" s="47" t="n">
        <f aca="false">$F$4+CF131+(0.5*$F$10)+'Planting Calc'!$C$9+IF('Planting Calc'!$C$10="Yes",5,0)</f>
        <v>14.6050973111984</v>
      </c>
      <c r="CG133" s="47" t="n">
        <f aca="false">$F$4+CG131+(0.5*$F$10)+'Planting Calc'!$C$9+IF('Planting Calc'!$C$10="Yes",5,0)</f>
        <v>13.4892286193193</v>
      </c>
      <c r="CH133" s="47" t="n">
        <f aca="false">$F$4+CH131+(0.5*$F$10)+'Planting Calc'!$C$9+IF('Planting Calc'!$C$10="Yes",5,0)</f>
        <v>12.3641071266433</v>
      </c>
      <c r="CI133" s="47" t="n">
        <f aca="false">$F$4+CI131+(0.5*$F$10)+'Planting Calc'!$C$9+IF('Planting Calc'!$C$10="Yes",5,0)</f>
        <v>11.2358928733567</v>
      </c>
      <c r="CJ133" s="47" t="n">
        <f aca="false">$F$4+CJ131+(0.5*$F$10)+'Planting Calc'!$C$9+IF('Planting Calc'!$C$10="Yes",5,0)</f>
        <v>10.1107713806807</v>
      </c>
      <c r="CK133" s="47" t="n">
        <f aca="false">$F$4+CK131+(0.5*$F$10)+'Planting Calc'!$C$9+IF('Planting Calc'!$C$10="Yes",5,0)</f>
        <v>8.99490268880161</v>
      </c>
      <c r="CL133" s="47" t="n">
        <f aca="false">$F$4+CL131+(0.5*$F$10)+'Planting Calc'!$C$9+IF('Planting Calc'!$C$10="Yes",5,0)</f>
        <v>7.89437039480112</v>
      </c>
      <c r="CM133" s="47" t="n">
        <f aca="false">$F$4+CM131+(0.5*$F$10)+'Planting Calc'!$C$9+IF('Planting Calc'!$C$10="Yes",5,0)</f>
        <v>6.81513069058644</v>
      </c>
      <c r="CN133" s="47" t="n">
        <f aca="false">$F$4+CN131+(0.5*$F$10)+'Planting Calc'!$C$9+IF('Planting Calc'!$C$10="Yes",5,0)</f>
        <v>5.76296140082036</v>
      </c>
      <c r="CO133" s="47" t="n">
        <f aca="false">$F$4+CO131+(0.5*$F$10)+'Planting Calc'!$C$9+IF('Planting Calc'!$C$10="Yes",5,0)</f>
        <v>4.74341102085175</v>
      </c>
      <c r="CP133" s="47" t="n">
        <f aca="false">$F$4+CP131+(0.5*$F$10)+'Planting Calc'!$C$9+IF('Planting Calc'!$C$10="Yes",5,0)</f>
        <v>3.7617477546455</v>
      </c>
      <c r="CQ133" s="47" t="n">
        <f aca="false">$F$4+CQ131+(0.5*$F$10)+'Planting Calc'!$C$9+IF('Planting Calc'!$C$10="Yes",5,0)</f>
        <v>2.82290855271295</v>
      </c>
      <c r="CR133" s="47" t="n">
        <f aca="false">$F$4+CR131+(0.5*$F$10)+'Planting Calc'!$C$9+IF('Planting Calc'!$C$10="Yes",5,0)</f>
        <v>1.9314481500419</v>
      </c>
      <c r="CS133" s="47" t="n">
        <f aca="false">$F$4+CS131+(0.5*$F$10)+'Planting Calc'!$C$9+IF('Planting Calc'!$C$10="Yes",5,0)</f>
        <v>1.09148810402697</v>
      </c>
      <c r="CT133" s="47" t="n">
        <f aca="false">$F$4+CT131+(0.5*$F$10)+'Planting Calc'!$C$9+IF('Planting Calc'!$C$10="Yes",5,0)</f>
        <v>0.306665832399617</v>
      </c>
      <c r="CU133" s="47" t="n">
        <f aca="false">$F$4+CU131+(0.5*$F$10)+'Planting Calc'!$C$9+IF('Planting Calc'!$C$10="Yes",5,0)</f>
        <v>-0.419916348841402</v>
      </c>
      <c r="CV133" s="47" t="n">
        <f aca="false">$F$4+CV131+(0.5*$F$10)+'Planting Calc'!$C$9+IF('Planting Calc'!$C$10="Yes",5,0)</f>
        <v>-1.0857421875</v>
      </c>
      <c r="CW133" s="47" t="n">
        <f aca="false">$F$4+CW131+(0.5*$F$10)+'Planting Calc'!$C$9+IF('Planting Calc'!$C$10="Yes",5,0)</f>
        <v>-1.68893245725256</v>
      </c>
      <c r="CX133" s="47" t="n">
        <f aca="false">$F$4+CX131+(0.5*$F$10)+'Planting Calc'!$C$9+IF('Planting Calc'!$C$10="Yes",5,0)</f>
        <v>-2.22829591971764</v>
      </c>
      <c r="CY133" s="47" t="n">
        <f aca="false">$F$4+CY131+(0.5*$F$10)+'Planting Calc'!$C$9+IF('Planting Calc'!$C$10="Yes",5,0)</f>
        <v>-2.7033802865258</v>
      </c>
      <c r="CZ133" s="47" t="n">
        <f aca="false">$F$4+CZ131+(0.5*$F$10)+'Planting Calc'!$C$9+IF('Planting Calc'!$C$10="Yes",5,0)</f>
        <v>-3.11452318138947</v>
      </c>
      <c r="DA133" s="47" t="n">
        <f aca="false">$F$4+DA131+(0.5*$F$10)+'Planting Calc'!$C$9+IF('Planting Calc'!$C$10="Yes",5,0)</f>
        <v>-3.46290310217259</v>
      </c>
      <c r="DB133" s="47" t="n">
        <f aca="false">$F$4+DB131+(0.5*$F$10)+'Planting Calc'!$C$9+IF('Planting Calc'!$C$10="Yes",5,0)</f>
        <v>-3.75059038296055</v>
      </c>
      <c r="DC133" s="47" t="n">
        <f aca="false">$F$4+DC131+(0.5*$F$10)+'Planting Calc'!$C$9+IF('Planting Calc'!$C$10="Yes",5,0)</f>
        <v>-3.98059815612992</v>
      </c>
      <c r="DD133" s="47" t="n">
        <f aca="false">$F$4+DD131+(0.5*$F$10)+'Planting Calc'!$C$9+IF('Planting Calc'!$C$10="Yes",5,0)</f>
        <v>-4.15693331441824</v>
      </c>
      <c r="DE133" s="47" t="n">
        <f aca="false">$F$4+DE131+(0.5*$F$10)+'Planting Calc'!$C$9+IF('Planting Calc'!$C$10="Yes",5,0)</f>
        <v>-4.28464747299383</v>
      </c>
    </row>
    <row r="135" customFormat="false" ht="13.8" hidden="false" customHeight="false" outlineLevel="0" collapsed="false">
      <c r="K135" s="51" t="n">
        <v>45658</v>
      </c>
      <c r="L135" s="51" t="n">
        <v>45809</v>
      </c>
    </row>
    <row r="136" customFormat="false" ht="13.8" hidden="false" customHeight="false" outlineLevel="0" collapsed="false">
      <c r="K136" s="44" t="n">
        <v>12</v>
      </c>
      <c r="L136" s="44" t="n">
        <v>12</v>
      </c>
    </row>
    <row r="137" customFormat="false" ht="13.8" hidden="false" customHeight="false" outlineLevel="0" collapsed="false">
      <c r="J137" s="44" t="n">
        <v>25</v>
      </c>
      <c r="L137" s="44" t="n">
        <v>23.3</v>
      </c>
    </row>
    <row r="138" customFormat="false" ht="13.8" hidden="false" customHeight="false" outlineLevel="0" collapsed="false">
      <c r="J138" s="44" t="n">
        <v>26</v>
      </c>
      <c r="K138" s="44" t="n">
        <v>-9.9</v>
      </c>
      <c r="L138" s="44" t="n">
        <v>23.1</v>
      </c>
    </row>
    <row r="139" customFormat="false" ht="13.8" hidden="false" customHeight="false" outlineLevel="0" collapsed="false">
      <c r="J139" s="44" t="n">
        <v>27</v>
      </c>
      <c r="K139" s="44" t="n">
        <v>-10.9</v>
      </c>
      <c r="L139" s="44" t="n">
        <v>23.5</v>
      </c>
    </row>
    <row r="140" customFormat="false" ht="13.8" hidden="false" customHeight="false" outlineLevel="0" collapsed="false">
      <c r="J140" s="44" t="n">
        <v>28</v>
      </c>
      <c r="K140" s="44" t="n">
        <v>-11</v>
      </c>
      <c r="L140" s="44" t="n">
        <v>22.4</v>
      </c>
    </row>
    <row r="141" customFormat="false" ht="13.8" hidden="false" customHeight="false" outlineLevel="0" collapsed="false">
      <c r="J141" s="44" t="n">
        <v>29</v>
      </c>
      <c r="K141" s="44" t="n">
        <v>-10.7</v>
      </c>
      <c r="L141" s="44" t="n">
        <v>23.2</v>
      </c>
    </row>
    <row r="142" customFormat="false" ht="13.8" hidden="false" customHeight="false" outlineLevel="0" collapsed="false">
      <c r="J142" s="44" t="n">
        <v>30</v>
      </c>
      <c r="K142" s="44" t="n">
        <v>-9.3</v>
      </c>
      <c r="L142" s="44" t="n">
        <v>24.2</v>
      </c>
    </row>
    <row r="143" customFormat="false" ht="13.8" hidden="false" customHeight="false" outlineLevel="0" collapsed="false">
      <c r="J143" s="44" t="n">
        <v>31</v>
      </c>
      <c r="K143" s="44" t="n">
        <v>-6.8</v>
      </c>
      <c r="L143" s="44" t="n">
        <v>26.6</v>
      </c>
    </row>
    <row r="144" customFormat="false" ht="13.8" hidden="false" customHeight="false" outlineLevel="0" collapsed="false">
      <c r="J144" s="44" t="n">
        <v>32</v>
      </c>
      <c r="K144" s="44" t="n">
        <v>-9.5</v>
      </c>
      <c r="L144" s="44" t="n">
        <v>21.1</v>
      </c>
    </row>
    <row r="145" customFormat="false" ht="13.8" hidden="false" customHeight="false" outlineLevel="0" collapsed="false">
      <c r="J145" s="44" t="n">
        <v>33</v>
      </c>
      <c r="K145" s="44" t="n">
        <v>-12.5</v>
      </c>
      <c r="L145" s="44" t="n">
        <v>22</v>
      </c>
    </row>
    <row r="146" customFormat="false" ht="13.8" hidden="false" customHeight="false" outlineLevel="0" collapsed="false">
      <c r="J146" s="44" t="n">
        <v>34</v>
      </c>
      <c r="K146" s="44" t="n">
        <v>-14.2</v>
      </c>
      <c r="L146" s="44" t="n">
        <v>20.5</v>
      </c>
    </row>
    <row r="147" customFormat="false" ht="13.8" hidden="false" customHeight="false" outlineLevel="0" collapsed="false">
      <c r="J147" s="44" t="n">
        <v>35</v>
      </c>
      <c r="K147" s="44" t="n">
        <v>-12.5</v>
      </c>
      <c r="L147" s="44" t="n">
        <v>20.7</v>
      </c>
    </row>
    <row r="148" customFormat="false" ht="13.8" hidden="false" customHeight="false" outlineLevel="0" collapsed="false">
      <c r="J148" s="44" t="n">
        <v>36</v>
      </c>
      <c r="K148" s="44" t="n">
        <v>-12.5</v>
      </c>
      <c r="L148" s="44" t="n">
        <v>20.7</v>
      </c>
    </row>
    <row r="149" customFormat="false" ht="13.8" hidden="false" customHeight="false" outlineLevel="0" collapsed="false">
      <c r="J149" s="44" t="n">
        <v>37</v>
      </c>
      <c r="K149" s="44" t="n">
        <v>-12.1</v>
      </c>
      <c r="L149" s="44" t="n">
        <v>22.4</v>
      </c>
    </row>
    <row r="150" customFormat="false" ht="13.8" hidden="false" customHeight="false" outlineLevel="0" collapsed="false">
      <c r="J150" s="44" t="n">
        <v>38</v>
      </c>
      <c r="K150" s="44" t="n">
        <v>-11.2</v>
      </c>
      <c r="L150" s="44" t="n">
        <v>22.4</v>
      </c>
    </row>
    <row r="151" customFormat="false" ht="13.8" hidden="false" customHeight="false" outlineLevel="0" collapsed="false">
      <c r="J151" s="44" t="n">
        <v>39</v>
      </c>
      <c r="K151" s="44" t="n">
        <v>-10.6</v>
      </c>
      <c r="L151" s="44" t="n">
        <v>21.5</v>
      </c>
    </row>
    <row r="152" customFormat="false" ht="13.8" hidden="false" customHeight="false" outlineLevel="0" collapsed="false">
      <c r="J152" s="44" t="n">
        <v>40</v>
      </c>
      <c r="K152" s="44" t="n">
        <v>-12.1</v>
      </c>
      <c r="L152" s="44" t="n">
        <v>19.6</v>
      </c>
    </row>
    <row r="153" customFormat="false" ht="13.8" hidden="false" customHeight="false" outlineLevel="0" collapsed="false">
      <c r="J153" s="44" t="n">
        <v>41</v>
      </c>
      <c r="K153" s="44" t="n">
        <v>-12.9</v>
      </c>
      <c r="L153" s="44" t="n">
        <v>20.4</v>
      </c>
    </row>
    <row r="154" customFormat="false" ht="13.8" hidden="false" customHeight="false" outlineLevel="0" collapsed="false">
      <c r="J154" s="44" t="n">
        <v>42</v>
      </c>
      <c r="K154" s="44" t="n">
        <v>-13</v>
      </c>
      <c r="L154" s="44" t="n">
        <v>22.4</v>
      </c>
    </row>
    <row r="155" customFormat="false" ht="13.8" hidden="false" customHeight="false" outlineLevel="0" collapsed="false">
      <c r="J155" s="44" t="n">
        <v>43</v>
      </c>
      <c r="K155" s="44" t="n">
        <v>-11.1</v>
      </c>
      <c r="L155" s="44" t="n">
        <v>23.9</v>
      </c>
    </row>
    <row r="156" customFormat="false" ht="13.8" hidden="false" customHeight="false" outlineLevel="0" collapsed="false">
      <c r="J156" s="44" t="n">
        <v>44</v>
      </c>
      <c r="K156" s="44" t="n">
        <v>-10.6</v>
      </c>
      <c r="L156" s="44" t="n">
        <v>22</v>
      </c>
    </row>
    <row r="157" customFormat="false" ht="13.8" hidden="false" customHeight="false" outlineLevel="0" collapsed="false">
      <c r="J157" s="44" t="n">
        <v>45</v>
      </c>
      <c r="K157" s="44" t="n">
        <v>-10.7</v>
      </c>
      <c r="L157" s="44" t="n">
        <v>23.3</v>
      </c>
    </row>
    <row r="158" customFormat="false" ht="13.8" hidden="false" customHeight="false" outlineLevel="0" collapsed="false">
      <c r="J158" s="44" t="n">
        <v>46</v>
      </c>
      <c r="K158" s="44" t="n">
        <v>-9.7</v>
      </c>
      <c r="L158" s="44" t="n">
        <v>22.7</v>
      </c>
    </row>
    <row r="159" customFormat="false" ht="13.8" hidden="false" customHeight="false" outlineLevel="0" collapsed="false">
      <c r="J159" s="44" t="n">
        <v>47</v>
      </c>
      <c r="K159" s="44" t="n">
        <v>-10.5</v>
      </c>
      <c r="L159" s="44" t="n">
        <v>20.3</v>
      </c>
    </row>
    <row r="160" customFormat="false" ht="13.8" hidden="false" customHeight="false" outlineLevel="0" collapsed="false">
      <c r="J160" s="44" t="n">
        <v>48</v>
      </c>
      <c r="K160" s="44" t="n">
        <v>-13.9</v>
      </c>
      <c r="L160" s="44" t="n">
        <v>17</v>
      </c>
    </row>
    <row r="161" customFormat="false" ht="13.8" hidden="false" customHeight="false" outlineLevel="0" collapsed="false">
      <c r="J161" s="44" t="n">
        <v>49</v>
      </c>
      <c r="K161" s="44" t="n">
        <v>-17.4</v>
      </c>
      <c r="L161" s="44" t="n">
        <v>18.4</v>
      </c>
    </row>
    <row r="162" customFormat="false" ht="13.8" hidden="false" customHeight="false" outlineLevel="0" collapsed="false">
      <c r="J162" s="44" t="n">
        <v>50</v>
      </c>
      <c r="K162" s="44" t="n">
        <v>-15.5</v>
      </c>
      <c r="L162" s="44" t="n">
        <v>18.6</v>
      </c>
    </row>
    <row r="163" customFormat="false" ht="13.8" hidden="false" customHeight="false" outlineLevel="0" collapsed="false">
      <c r="J163" s="44" t="n">
        <v>51</v>
      </c>
      <c r="K163" s="44" t="n">
        <v>-14.1</v>
      </c>
      <c r="L163" s="44" t="n">
        <v>20.1</v>
      </c>
    </row>
    <row r="164" customFormat="false" ht="13.8" hidden="false" customHeight="false" outlineLevel="0" collapsed="false">
      <c r="J164" s="44" t="n">
        <v>52</v>
      </c>
      <c r="K164" s="44" t="n">
        <v>-11.9</v>
      </c>
      <c r="L164" s="44" t="n">
        <v>22.1</v>
      </c>
    </row>
    <row r="165" customFormat="false" ht="13.8" hidden="false" customHeight="false" outlineLevel="0" collapsed="false">
      <c r="J165" s="44" t="n">
        <v>53</v>
      </c>
      <c r="K165" s="44" t="n">
        <v>-11.3</v>
      </c>
      <c r="L165" s="44" t="n">
        <v>21.8</v>
      </c>
    </row>
    <row r="166" customFormat="false" ht="13.8" hidden="false" customHeight="false" outlineLevel="0" collapsed="false">
      <c r="J166" s="44" t="n">
        <v>54</v>
      </c>
      <c r="K166" s="44" t="n">
        <v>-10.4</v>
      </c>
      <c r="L166" s="44" t="n">
        <v>21.6</v>
      </c>
    </row>
    <row r="167" customFormat="false" ht="13.8" hidden="false" customHeight="false" outlineLevel="0" collapsed="false">
      <c r="J167" s="44" t="n">
        <v>55</v>
      </c>
      <c r="K167" s="44" t="n">
        <v>-9.7</v>
      </c>
      <c r="L167" s="44" t="n">
        <v>23.2</v>
      </c>
    </row>
    <row r="168" customFormat="false" ht="13.8" hidden="false" customHeight="false" outlineLevel="0" collapsed="false">
      <c r="J168" s="44" t="n">
        <v>56</v>
      </c>
      <c r="K168" s="44" t="n">
        <v>-12</v>
      </c>
      <c r="L168" s="44" t="n">
        <v>21.3</v>
      </c>
    </row>
    <row r="169" customFormat="false" ht="13.8" hidden="false" customHeight="false" outlineLevel="0" collapsed="false">
      <c r="J169" s="44" t="n">
        <v>57</v>
      </c>
      <c r="K169" s="44" t="n">
        <v>-13.9</v>
      </c>
      <c r="L169" s="44" t="n">
        <v>20.4</v>
      </c>
    </row>
    <row r="170" customFormat="false" ht="13.8" hidden="false" customHeight="false" outlineLevel="0" collapsed="false">
      <c r="J170" s="44" t="n">
        <v>58</v>
      </c>
      <c r="K170" s="44" t="n">
        <v>-13.3</v>
      </c>
      <c r="L170" s="44" t="n">
        <v>21</v>
      </c>
    </row>
    <row r="171" customFormat="false" ht="13.8" hidden="false" customHeight="false" outlineLevel="0" collapsed="false">
      <c r="J171" s="44" t="n">
        <v>59</v>
      </c>
      <c r="K171" s="44" t="n">
        <v>-14.1</v>
      </c>
      <c r="L171" s="44" t="n">
        <v>21</v>
      </c>
    </row>
    <row r="172" customFormat="false" ht="13.8" hidden="false" customHeight="false" outlineLevel="0" collapsed="false">
      <c r="J172" s="44" t="n">
        <v>60</v>
      </c>
      <c r="K172" s="44" t="n">
        <v>-14.3</v>
      </c>
      <c r="L172" s="44" t="n">
        <v>18.3</v>
      </c>
    </row>
    <row r="173" customFormat="false" ht="13.8" hidden="false" customHeight="false" outlineLevel="0" collapsed="false">
      <c r="J173" s="44" t="n">
        <v>61</v>
      </c>
      <c r="K173" s="44" t="n">
        <v>-14.4</v>
      </c>
      <c r="L173" s="44" t="n">
        <v>18.3</v>
      </c>
    </row>
    <row r="174" customFormat="false" ht="13.8" hidden="false" customHeight="false" outlineLevel="0" collapsed="false">
      <c r="J174" s="44" t="n">
        <v>62</v>
      </c>
      <c r="K174" s="44" t="n">
        <v>-14.7</v>
      </c>
      <c r="L174" s="44" t="n">
        <v>18.7</v>
      </c>
    </row>
    <row r="175" customFormat="false" ht="13.8" hidden="false" customHeight="false" outlineLevel="0" collapsed="false">
      <c r="J175" s="44" t="n">
        <v>63</v>
      </c>
      <c r="K175" s="44" t="n">
        <v>-12.7</v>
      </c>
      <c r="L175" s="44" t="n">
        <v>20.8</v>
      </c>
    </row>
    <row r="176" customFormat="false" ht="13.8" hidden="false" customHeight="false" outlineLevel="0" collapsed="false">
      <c r="J176" s="44" t="n">
        <v>64</v>
      </c>
      <c r="K176" s="44" t="n">
        <v>-12.8</v>
      </c>
      <c r="L176" s="44" t="n">
        <v>21.2</v>
      </c>
    </row>
    <row r="177" customFormat="false" ht="13.8" hidden="false" customHeight="false" outlineLevel="0" collapsed="false">
      <c r="J177" s="44" t="n">
        <v>65</v>
      </c>
      <c r="K177" s="44" t="n">
        <v>-10.5</v>
      </c>
      <c r="L177" s="44" t="n">
        <v>23.2</v>
      </c>
    </row>
    <row r="178" customFormat="false" ht="13.8" hidden="false" customHeight="false" outlineLevel="0" collapsed="false">
      <c r="J178" s="44" t="n">
        <v>66</v>
      </c>
      <c r="K178" s="44" t="n">
        <v>-10.7</v>
      </c>
      <c r="L178" s="44" t="n">
        <v>23.4</v>
      </c>
    </row>
    <row r="179" customFormat="false" ht="13.8" hidden="false" customHeight="false" outlineLevel="0" collapsed="false">
      <c r="J179" s="44" t="n">
        <v>67</v>
      </c>
      <c r="K179" s="44" t="n">
        <v>-10.3</v>
      </c>
      <c r="L179" s="44" t="n">
        <v>22.8</v>
      </c>
    </row>
    <row r="180" customFormat="false" ht="13.8" hidden="false" customHeight="false" outlineLevel="0" collapsed="false">
      <c r="J180" s="44" t="n">
        <v>68</v>
      </c>
      <c r="K180" s="44" t="n">
        <v>-11.3</v>
      </c>
      <c r="L180" s="44" t="n">
        <v>22</v>
      </c>
    </row>
    <row r="181" customFormat="false" ht="13.8" hidden="false" customHeight="false" outlineLevel="0" collapsed="false">
      <c r="J181" s="44" t="n">
        <v>69</v>
      </c>
      <c r="K181" s="44" t="n">
        <v>-10.9</v>
      </c>
      <c r="L181" s="44" t="n">
        <v>24.2</v>
      </c>
    </row>
    <row r="182" customFormat="false" ht="13.8" hidden="false" customHeight="false" outlineLevel="0" collapsed="false">
      <c r="J182" s="44" t="n">
        <v>70</v>
      </c>
      <c r="K182" s="44" t="n">
        <v>-9</v>
      </c>
      <c r="L182" s="44" t="n">
        <v>23.8</v>
      </c>
    </row>
    <row r="183" customFormat="false" ht="13.8" hidden="false" customHeight="false" outlineLevel="0" collapsed="false">
      <c r="J183" s="44" t="n">
        <v>71</v>
      </c>
      <c r="K183" s="44" t="n">
        <v>-9.7</v>
      </c>
      <c r="L183" s="44" t="n">
        <v>22</v>
      </c>
    </row>
    <row r="184" customFormat="false" ht="13.8" hidden="false" customHeight="false" outlineLevel="0" collapsed="false">
      <c r="J184" s="44" t="n">
        <v>72</v>
      </c>
      <c r="K184" s="44" t="n">
        <v>-12.8</v>
      </c>
      <c r="L184" s="44" t="n">
        <v>22.2</v>
      </c>
    </row>
    <row r="185" customFormat="false" ht="13.8" hidden="false" customHeight="false" outlineLevel="0" collapsed="false">
      <c r="J185" s="44" t="n">
        <v>73</v>
      </c>
      <c r="K185" s="44" t="n">
        <v>-12.2</v>
      </c>
      <c r="L185" s="44" t="n">
        <v>21.2</v>
      </c>
    </row>
    <row r="186" customFormat="false" ht="13.8" hidden="false" customHeight="false" outlineLevel="0" collapsed="false">
      <c r="J186" s="44" t="n">
        <v>74</v>
      </c>
      <c r="K186" s="44" t="n">
        <v>-11.3</v>
      </c>
      <c r="L186" s="44" t="n">
        <v>20.5</v>
      </c>
    </row>
    <row r="187" customFormat="false" ht="13.8" hidden="false" customHeight="false" outlineLevel="0" collapsed="false">
      <c r="J187" s="44" t="n">
        <v>75</v>
      </c>
      <c r="K187" s="44" t="n">
        <v>-13.2</v>
      </c>
      <c r="L187" s="44" t="n">
        <v>21.8</v>
      </c>
    </row>
    <row r="188" customFormat="false" ht="13.8" hidden="false" customHeight="false" outlineLevel="0" collapsed="false">
      <c r="J188" s="44" t="n">
        <v>76</v>
      </c>
      <c r="K188" s="44" t="n">
        <v>-12.1</v>
      </c>
      <c r="L188" s="44" t="n">
        <v>20.7</v>
      </c>
    </row>
    <row r="189" customFormat="false" ht="13.8" hidden="false" customHeight="false" outlineLevel="0" collapsed="false">
      <c r="J189" s="44" t="n">
        <v>77</v>
      </c>
      <c r="K189" s="44" t="n">
        <v>-11.7</v>
      </c>
      <c r="L189" s="44" t="n">
        <v>21.4</v>
      </c>
    </row>
    <row r="190" customFormat="false" ht="13.8" hidden="false" customHeight="false" outlineLevel="0" collapsed="false">
      <c r="J190" s="44" t="n">
        <v>78</v>
      </c>
      <c r="K190" s="44" t="n">
        <v>-11.1</v>
      </c>
      <c r="L190" s="44" t="n">
        <v>22.4</v>
      </c>
    </row>
    <row r="191" customFormat="false" ht="13.8" hidden="false" customHeight="false" outlineLevel="0" collapsed="false">
      <c r="J191" s="44" t="n">
        <v>79</v>
      </c>
      <c r="K191" s="44" t="n">
        <v>-11.8</v>
      </c>
      <c r="L191" s="44" t="n">
        <v>22.8</v>
      </c>
    </row>
    <row r="192" customFormat="false" ht="13.8" hidden="false" customHeight="false" outlineLevel="0" collapsed="false">
      <c r="J192" s="44" t="n">
        <v>80</v>
      </c>
      <c r="K192" s="44" t="n">
        <v>-10.2</v>
      </c>
      <c r="L192" s="44" t="n">
        <v>22.1</v>
      </c>
    </row>
    <row r="193" customFormat="false" ht="13.8" hidden="false" customHeight="false" outlineLevel="0" collapsed="false">
      <c r="J193" s="44" t="n">
        <v>81</v>
      </c>
      <c r="K193" s="44" t="n">
        <v>-13.2</v>
      </c>
      <c r="L193" s="44" t="n">
        <v>20.3</v>
      </c>
    </row>
    <row r="194" customFormat="false" ht="13.8" hidden="false" customHeight="false" outlineLevel="0" collapsed="false">
      <c r="J194" s="44" t="n">
        <v>82</v>
      </c>
      <c r="K194" s="44" t="n">
        <v>-13.9</v>
      </c>
      <c r="L194" s="44" t="n">
        <v>19.2</v>
      </c>
    </row>
    <row r="195" customFormat="false" ht="13.8" hidden="false" customHeight="false" outlineLevel="0" collapsed="false">
      <c r="J195" s="44" t="n">
        <v>83</v>
      </c>
      <c r="K195" s="44" t="n">
        <v>-13</v>
      </c>
      <c r="L195" s="44" t="n">
        <v>20.9</v>
      </c>
    </row>
    <row r="196" customFormat="false" ht="13.8" hidden="false" customHeight="false" outlineLevel="0" collapsed="false">
      <c r="J196" s="44" t="n">
        <v>84</v>
      </c>
      <c r="K196" s="44" t="n">
        <v>-12.4</v>
      </c>
      <c r="L196" s="44" t="n">
        <v>20.5</v>
      </c>
    </row>
    <row r="197" customFormat="false" ht="13.8" hidden="false" customHeight="false" outlineLevel="0" collapsed="false">
      <c r="J197" s="44" t="n">
        <v>85</v>
      </c>
      <c r="K197" s="44" t="n">
        <v>-13.7</v>
      </c>
      <c r="L197" s="44" t="n">
        <v>20</v>
      </c>
    </row>
    <row r="198" customFormat="false" ht="13.8" hidden="false" customHeight="false" outlineLevel="0" collapsed="false">
      <c r="J198" s="44" t="n">
        <v>86</v>
      </c>
      <c r="K198" s="44" t="n">
        <v>-12.5</v>
      </c>
      <c r="L198" s="44" t="n">
        <v>20.5</v>
      </c>
    </row>
    <row r="199" customFormat="false" ht="13.8" hidden="false" customHeight="false" outlineLevel="0" collapsed="false">
      <c r="J199" s="44" t="n">
        <v>87</v>
      </c>
      <c r="K199" s="44" t="n">
        <v>-12.4</v>
      </c>
      <c r="L199" s="44" t="n">
        <v>21.7</v>
      </c>
    </row>
    <row r="200" customFormat="false" ht="13.8" hidden="false" customHeight="false" outlineLevel="0" collapsed="false">
      <c r="J200" s="44" t="n">
        <v>88</v>
      </c>
      <c r="K200" s="44" t="n">
        <v>-10.5</v>
      </c>
      <c r="L200" s="44" t="n">
        <v>22</v>
      </c>
    </row>
    <row r="201" customFormat="false" ht="13.8" hidden="false" customHeight="false" outlineLevel="0" collapsed="false">
      <c r="J201" s="44" t="n">
        <v>89</v>
      </c>
      <c r="K201" s="44" t="n">
        <v>-10.6</v>
      </c>
      <c r="L201" s="44" t="n">
        <v>20.5</v>
      </c>
    </row>
    <row r="202" customFormat="false" ht="15.75" hidden="false" customHeight="false" outlineLevel="0" collapsed="false">
      <c r="J202" s="44" t="n">
        <v>90</v>
      </c>
      <c r="K202" s="44" t="n">
        <v>-13.8</v>
      </c>
      <c r="L202" s="44" t="n">
        <v>19.9</v>
      </c>
    </row>
    <row r="203" customFormat="false" ht="15.75" hidden="false" customHeight="false" outlineLevel="0" collapsed="false">
      <c r="J203" s="44" t="n">
        <v>91</v>
      </c>
      <c r="K203" s="44" t="n">
        <v>-12.3</v>
      </c>
      <c r="L203" s="44" t="n">
        <v>22.8</v>
      </c>
    </row>
    <row r="204" customFormat="false" ht="15.75" hidden="false" customHeight="false" outlineLevel="0" collapsed="false">
      <c r="J204" s="44" t="n">
        <v>92</v>
      </c>
      <c r="K204" s="44" t="n">
        <v>-11</v>
      </c>
      <c r="L204" s="44" t="n">
        <v>23.9</v>
      </c>
    </row>
    <row r="205" customFormat="false" ht="15.75" hidden="false" customHeight="false" outlineLevel="0" collapsed="false">
      <c r="J205" s="44" t="n">
        <v>93</v>
      </c>
      <c r="K205" s="44" t="n">
        <v>-9.3</v>
      </c>
      <c r="L205" s="44" t="n">
        <v>21.9</v>
      </c>
    </row>
    <row r="206" customFormat="false" ht="15.75" hidden="false" customHeight="false" outlineLevel="0" collapsed="false">
      <c r="J206" s="44" t="n">
        <v>94</v>
      </c>
      <c r="K206" s="44" t="n">
        <v>-10.2</v>
      </c>
      <c r="L206" s="44" t="n">
        <v>22.3</v>
      </c>
    </row>
    <row r="207" customFormat="false" ht="15.75" hidden="false" customHeight="false" outlineLevel="0" collapsed="false">
      <c r="J207" s="44" t="n">
        <v>95</v>
      </c>
      <c r="K207" s="44" t="n">
        <v>-10.4</v>
      </c>
      <c r="L207" s="44" t="n">
        <v>21.2</v>
      </c>
    </row>
    <row r="208" customFormat="false" ht="15.75" hidden="false" customHeight="false" outlineLevel="0" collapsed="false">
      <c r="J208" s="44" t="n">
        <v>96</v>
      </c>
      <c r="K208" s="44" t="n">
        <v>-12.5</v>
      </c>
      <c r="L208" s="44" t="n">
        <v>21.5</v>
      </c>
    </row>
    <row r="209" customFormat="false" ht="15.75" hidden="false" customHeight="false" outlineLevel="0" collapsed="false">
      <c r="J209" s="44" t="n">
        <v>97</v>
      </c>
      <c r="K209" s="44" t="n">
        <v>-12.8</v>
      </c>
      <c r="L209" s="44" t="n">
        <v>22.5</v>
      </c>
    </row>
    <row r="210" customFormat="false" ht="15.75" hidden="false" customHeight="false" outlineLevel="0" collapsed="false">
      <c r="J210" s="44" t="n">
        <v>98</v>
      </c>
      <c r="K210" s="44" t="n">
        <v>-10</v>
      </c>
      <c r="L210" s="44" t="n">
        <v>23.6</v>
      </c>
    </row>
    <row r="211" customFormat="false" ht="15.75" hidden="false" customHeight="false" outlineLevel="0" collapsed="false">
      <c r="J211" s="44" t="n">
        <v>99</v>
      </c>
      <c r="K211" s="44" t="n">
        <v>-10.4</v>
      </c>
      <c r="L211" s="44" t="n">
        <v>22.7</v>
      </c>
    </row>
    <row r="212" customFormat="false" ht="15.75" hidden="false" customHeight="false" outlineLevel="0" collapsed="false">
      <c r="J212" s="44" t="n">
        <v>100</v>
      </c>
      <c r="K212" s="44" t="n">
        <v>-11.1</v>
      </c>
      <c r="L212" s="44" t="n">
        <v>20.4</v>
      </c>
    </row>
    <row r="213" customFormat="false" ht="15.75" hidden="false" customHeight="false" outlineLevel="0" collapsed="false">
      <c r="J213" s="44" t="n">
        <v>101</v>
      </c>
      <c r="K213" s="44" t="n">
        <v>-11.9</v>
      </c>
      <c r="L213" s="44" t="n">
        <v>22.7</v>
      </c>
    </row>
    <row r="214" customFormat="false" ht="15.75" hidden="false" customHeight="false" outlineLevel="0" collapsed="false">
      <c r="J214" s="44" t="n">
        <v>102</v>
      </c>
      <c r="K214" s="44" t="n">
        <v>-11</v>
      </c>
      <c r="L214" s="44" t="n">
        <v>22.4</v>
      </c>
    </row>
    <row r="215" customFormat="false" ht="15.75" hidden="false" customHeight="false" outlineLevel="0" collapsed="false">
      <c r="J215" s="44" t="n">
        <v>103</v>
      </c>
      <c r="K215" s="44" t="n">
        <v>-11.2</v>
      </c>
      <c r="L215" s="44" t="n">
        <v>21.9</v>
      </c>
    </row>
    <row r="216" customFormat="false" ht="15.75" hidden="false" customHeight="false" outlineLevel="0" collapsed="false">
      <c r="J216" s="44" t="n">
        <v>104</v>
      </c>
      <c r="K216" s="44" t="n">
        <v>-9.2</v>
      </c>
      <c r="L216" s="44" t="n">
        <v>24.8</v>
      </c>
    </row>
    <row r="217" customFormat="false" ht="15.75" hidden="false" customHeight="false" outlineLevel="0" collapsed="false">
      <c r="J217" s="44" t="n">
        <v>105</v>
      </c>
      <c r="K217" s="44" t="n">
        <v>-7.9</v>
      </c>
      <c r="L217" s="44" t="n">
        <v>23.8</v>
      </c>
    </row>
    <row r="218" customFormat="false" ht="15.75" hidden="false" customHeight="false" outlineLevel="0" collapsed="false">
      <c r="J218" s="44" t="n">
        <v>106</v>
      </c>
      <c r="K218" s="44" t="n">
        <v>-8.5</v>
      </c>
      <c r="L218" s="44" t="n">
        <v>22.9</v>
      </c>
    </row>
    <row r="219" customFormat="false" ht="15.75" hidden="false" customHeight="false" outlineLevel="0" collapsed="false">
      <c r="J219" s="44" t="n">
        <v>107</v>
      </c>
      <c r="K219" s="44" t="n">
        <v>-10.7</v>
      </c>
      <c r="L219" s="44" t="n">
        <v>21.8</v>
      </c>
    </row>
    <row r="220" customFormat="false" ht="15.75" hidden="false" customHeight="false" outlineLevel="0" collapsed="false">
      <c r="J220" s="44" t="n">
        <v>108</v>
      </c>
      <c r="K220" s="44" t="n">
        <v>-12.6</v>
      </c>
      <c r="L220" s="44" t="n">
        <v>20.2</v>
      </c>
    </row>
    <row r="221" customFormat="false" ht="15.75" hidden="false" customHeight="false" outlineLevel="0" collapsed="false">
      <c r="J221" s="44" t="n">
        <v>109</v>
      </c>
      <c r="K221" s="44" t="n">
        <v>-12.9</v>
      </c>
      <c r="L221" s="44" t="n">
        <v>20</v>
      </c>
    </row>
    <row r="222" customFormat="false" ht="15.75" hidden="false" customHeight="false" outlineLevel="0" collapsed="false">
      <c r="J222" s="44" t="n">
        <v>110</v>
      </c>
      <c r="K222" s="44" t="n">
        <v>-11.6</v>
      </c>
      <c r="L222" s="44" t="n">
        <v>21.9</v>
      </c>
    </row>
    <row r="223" customFormat="false" ht="15.75" hidden="false" customHeight="false" outlineLevel="0" collapsed="false">
      <c r="J223" s="44" t="n">
        <v>111</v>
      </c>
      <c r="K223" s="44" t="n">
        <v>-10.4</v>
      </c>
      <c r="L223" s="44" t="n">
        <v>23</v>
      </c>
    </row>
    <row r="224" customFormat="false" ht="15.75" hidden="false" customHeight="false" outlineLevel="0" collapsed="false">
      <c r="J224" s="44" t="n">
        <v>112</v>
      </c>
      <c r="K224" s="44" t="n">
        <v>-10.9</v>
      </c>
      <c r="L224" s="44" t="n">
        <v>22.3</v>
      </c>
    </row>
    <row r="225" customFormat="false" ht="15.75" hidden="false" customHeight="false" outlineLevel="0" collapsed="false">
      <c r="J225" s="44" t="n">
        <v>113</v>
      </c>
      <c r="K225" s="44" t="n">
        <v>-10.1</v>
      </c>
      <c r="L225" s="44" t="n">
        <v>22.7</v>
      </c>
    </row>
    <row r="226" customFormat="false" ht="15.75" hidden="false" customHeight="false" outlineLevel="0" collapsed="false">
      <c r="J226" s="44" t="n">
        <v>114</v>
      </c>
      <c r="K226" s="44" t="n">
        <v>-10</v>
      </c>
      <c r="L226" s="44" t="n">
        <v>23.5</v>
      </c>
    </row>
    <row r="227" customFormat="false" ht="15.75" hidden="false" customHeight="false" outlineLevel="0" collapsed="false">
      <c r="J227" s="44" t="n">
        <v>115</v>
      </c>
      <c r="K227" s="44" t="n">
        <v>-8.7</v>
      </c>
      <c r="L227" s="44" t="n">
        <v>24.4</v>
      </c>
    </row>
    <row r="228" customFormat="false" ht="15.75" hidden="false" customHeight="false" outlineLevel="0" collapsed="false">
      <c r="J228" s="44" t="n">
        <v>116</v>
      </c>
      <c r="K228" s="44" t="n">
        <v>-8.3</v>
      </c>
      <c r="L228" s="44" t="n">
        <v>24.6</v>
      </c>
    </row>
    <row r="229" customFormat="false" ht="15.75" hidden="false" customHeight="false" outlineLevel="0" collapsed="false">
      <c r="J229" s="44" t="n">
        <v>117</v>
      </c>
      <c r="K229" s="44" t="n">
        <v>-10.7</v>
      </c>
      <c r="L229" s="44" t="n">
        <v>22.3</v>
      </c>
    </row>
    <row r="230" customFormat="false" ht="15.75" hidden="false" customHeight="false" outlineLevel="0" collapsed="false">
      <c r="J230" s="44" t="n">
        <v>118</v>
      </c>
      <c r="K230" s="44" t="n">
        <v>-11.8</v>
      </c>
      <c r="L230" s="44" t="n">
        <v>20.6</v>
      </c>
    </row>
    <row r="231" customFormat="false" ht="15.75" hidden="false" customHeight="false" outlineLevel="0" collapsed="false">
      <c r="J231" s="44" t="n">
        <v>119</v>
      </c>
      <c r="K231" s="44" t="n">
        <v>-12.6</v>
      </c>
      <c r="L231" s="44" t="n">
        <v>22.4</v>
      </c>
    </row>
    <row r="232" customFormat="false" ht="15.75" hidden="false" customHeight="false" outlineLevel="0" collapsed="false">
      <c r="J232" s="44" t="n">
        <v>120</v>
      </c>
      <c r="K232" s="44" t="n">
        <v>-11.4</v>
      </c>
      <c r="L232" s="44" t="n">
        <v>22.9</v>
      </c>
    </row>
    <row r="233" customFormat="false" ht="15.75" hidden="false" customHeight="false" outlineLevel="0" collapsed="false">
      <c r="J233" s="44" t="n">
        <v>121</v>
      </c>
      <c r="K233" s="44" t="n">
        <v>-9.1</v>
      </c>
      <c r="L233" s="44" t="n">
        <v>24.4</v>
      </c>
    </row>
    <row r="234" customFormat="false" ht="15.75" hidden="false" customHeight="false" outlineLevel="0" collapsed="false">
      <c r="J234" s="44" t="n">
        <v>122</v>
      </c>
      <c r="K234" s="44" t="n">
        <v>-10</v>
      </c>
      <c r="L234" s="44" t="n">
        <v>22</v>
      </c>
    </row>
    <row r="235" customFormat="false" ht="15.75" hidden="false" customHeight="false" outlineLevel="0" collapsed="false">
      <c r="J235" s="44" t="n">
        <v>123</v>
      </c>
      <c r="K235" s="44" t="n">
        <v>-11</v>
      </c>
      <c r="L235" s="44" t="n">
        <v>22.1</v>
      </c>
    </row>
    <row r="236" customFormat="false" ht="15.75" hidden="false" customHeight="false" outlineLevel="0" collapsed="false">
      <c r="J236" s="44" t="n">
        <v>124</v>
      </c>
      <c r="K236" s="44" t="n">
        <v>-10.6</v>
      </c>
      <c r="L236" s="44" t="n">
        <v>23.8</v>
      </c>
    </row>
    <row r="237" customFormat="false" ht="15.75" hidden="false" customHeight="false" outlineLevel="0" collapsed="false">
      <c r="J237" s="44" t="n">
        <v>125</v>
      </c>
      <c r="K237" s="44" t="n">
        <v>-9.7</v>
      </c>
      <c r="L237" s="44" t="n">
        <v>24.2</v>
      </c>
    </row>
    <row r="238" customFormat="false" ht="15.75" hidden="false" customHeight="false" outlineLevel="0" collapsed="false">
      <c r="J238" s="44" t="n">
        <v>126</v>
      </c>
      <c r="K238" s="44" t="n">
        <v>-8.5</v>
      </c>
      <c r="L238" s="44" t="n">
        <v>25.2</v>
      </c>
    </row>
    <row r="239" customFormat="false" ht="15.75" hidden="false" customHeight="false" outlineLevel="0" collapsed="false">
      <c r="J239" s="44" t="n">
        <v>127</v>
      </c>
      <c r="K239" s="44" t="n">
        <v>-9.3</v>
      </c>
      <c r="L239" s="44" t="n">
        <v>22.6</v>
      </c>
    </row>
    <row r="240" customFormat="false" ht="15.75" hidden="false" customHeight="false" outlineLevel="0" collapsed="false">
      <c r="J240" s="44" t="n">
        <v>128</v>
      </c>
      <c r="K240" s="44" t="n">
        <v>-10.3</v>
      </c>
      <c r="L240" s="44" t="n">
        <v>22.8</v>
      </c>
    </row>
    <row r="241" customFormat="false" ht="15.75" hidden="false" customHeight="false" outlineLevel="0" collapsed="false">
      <c r="J241" s="44" t="n">
        <v>129</v>
      </c>
      <c r="K241" s="44" t="n">
        <v>-10.8</v>
      </c>
      <c r="L241" s="44" t="n">
        <v>22.5</v>
      </c>
    </row>
    <row r="242" customFormat="false" ht="15.75" hidden="false" customHeight="false" outlineLevel="0" collapsed="false">
      <c r="J242" s="44" t="n">
        <v>130</v>
      </c>
      <c r="K242" s="44" t="n">
        <v>-12.1</v>
      </c>
      <c r="L242" s="44" t="n">
        <v>22.5</v>
      </c>
    </row>
    <row r="243" customFormat="false" ht="15.75" hidden="false" customHeight="false" outlineLevel="0" collapsed="false">
      <c r="J243" s="44" t="n">
        <v>131</v>
      </c>
      <c r="K243" s="44" t="n">
        <v>-12.5</v>
      </c>
      <c r="L243" s="44" t="n">
        <v>20.9</v>
      </c>
    </row>
    <row r="244" customFormat="false" ht="15.75" hidden="false" customHeight="false" outlineLevel="0" collapsed="false">
      <c r="J244" s="44" t="n">
        <v>132</v>
      </c>
      <c r="K244" s="44" t="n">
        <v>-11.9</v>
      </c>
      <c r="L244" s="44" t="n">
        <v>20.6</v>
      </c>
    </row>
    <row r="245" customFormat="false" ht="15.75" hidden="false" customHeight="false" outlineLevel="0" collapsed="false">
      <c r="J245" s="44" t="n">
        <v>133</v>
      </c>
      <c r="K245" s="44" t="n">
        <v>-12.6</v>
      </c>
      <c r="L245" s="44" t="n">
        <v>18.5</v>
      </c>
    </row>
    <row r="246" customFormat="false" ht="15.75" hidden="false" customHeight="false" outlineLevel="0" collapsed="false">
      <c r="J246" s="44" t="n">
        <v>134</v>
      </c>
      <c r="K246" s="44" t="n">
        <v>-13.8</v>
      </c>
      <c r="L246" s="44" t="n">
        <v>18.5</v>
      </c>
    </row>
    <row r="247" customFormat="false" ht="15.75" hidden="false" customHeight="false" outlineLevel="0" collapsed="false">
      <c r="J247" s="44" t="n">
        <v>135</v>
      </c>
      <c r="K247" s="44" t="n">
        <v>-15</v>
      </c>
      <c r="L247" s="44" t="n">
        <v>19.7</v>
      </c>
    </row>
    <row r="248" customFormat="false" ht="15.75" hidden="false" customHeight="false" outlineLevel="0" collapsed="false">
      <c r="J248" s="44" t="n">
        <v>136</v>
      </c>
      <c r="K248" s="44" t="n">
        <v>-14.7</v>
      </c>
      <c r="L248" s="44" t="n">
        <v>18.4</v>
      </c>
    </row>
    <row r="249" customFormat="false" ht="15.75" hidden="false" customHeight="false" outlineLevel="0" collapsed="false">
      <c r="J249" s="44" t="n">
        <v>137</v>
      </c>
      <c r="K249" s="44" t="n">
        <v>-15.3</v>
      </c>
      <c r="L249" s="44" t="n">
        <v>17.2</v>
      </c>
    </row>
    <row r="250" customFormat="false" ht="15.75" hidden="false" customHeight="false" outlineLevel="0" collapsed="false">
      <c r="J250" s="44" t="n">
        <v>138</v>
      </c>
      <c r="K250" s="44" t="n">
        <v>-14.5</v>
      </c>
      <c r="L250" s="44" t="n">
        <v>18.2</v>
      </c>
    </row>
    <row r="251" customFormat="false" ht="15.75" hidden="false" customHeight="false" outlineLevel="0" collapsed="false">
      <c r="J251" s="44" t="n">
        <v>139</v>
      </c>
      <c r="K251" s="44" t="n">
        <v>-13</v>
      </c>
      <c r="L251" s="44" t="n">
        <v>20.2</v>
      </c>
    </row>
    <row r="252" customFormat="false" ht="15.75" hidden="false" customHeight="false" outlineLevel="0" collapsed="false">
      <c r="J252" s="44" t="n">
        <v>140</v>
      </c>
      <c r="K252" s="44" t="n">
        <v>-13.9</v>
      </c>
      <c r="L252" s="44" t="n">
        <v>19.5</v>
      </c>
    </row>
    <row r="253" customFormat="false" ht="15.75" hidden="false" customHeight="false" outlineLevel="0" collapsed="false">
      <c r="J253" s="44" t="n">
        <v>141</v>
      </c>
      <c r="K253" s="44" t="n">
        <v>-14.4</v>
      </c>
      <c r="L253" s="44" t="n">
        <v>20.6</v>
      </c>
    </row>
    <row r="254" customFormat="false" ht="15.75" hidden="false" customHeight="false" outlineLevel="0" collapsed="false">
      <c r="J254" s="44" t="n">
        <v>142</v>
      </c>
      <c r="K254" s="44" t="n">
        <v>-12.1</v>
      </c>
      <c r="L254" s="44" t="n">
        <v>21.8</v>
      </c>
    </row>
    <row r="255" customFormat="false" ht="15.75" hidden="false" customHeight="false" outlineLevel="0" collapsed="false">
      <c r="J255" s="44" t="n">
        <v>143</v>
      </c>
      <c r="K255" s="44" t="n">
        <v>-12.5</v>
      </c>
      <c r="L255" s="44" t="n">
        <v>20.6</v>
      </c>
    </row>
    <row r="256" customFormat="false" ht="15.75" hidden="false" customHeight="false" outlineLevel="0" collapsed="false">
      <c r="J256" s="44" t="n">
        <v>144</v>
      </c>
      <c r="K256" s="44" t="n">
        <v>-12.1</v>
      </c>
      <c r="L256" s="44" t="n">
        <v>20.6</v>
      </c>
    </row>
    <row r="257" customFormat="false" ht="15.75" hidden="false" customHeight="false" outlineLevel="0" collapsed="false">
      <c r="J257" s="44" t="n">
        <v>145</v>
      </c>
      <c r="K257" s="44" t="n">
        <v>-11.3</v>
      </c>
      <c r="L257" s="44" t="n">
        <v>22.5</v>
      </c>
    </row>
    <row r="258" customFormat="false" ht="15.75" hidden="false" customHeight="false" outlineLevel="0" collapsed="false">
      <c r="J258" s="44" t="n">
        <v>146</v>
      </c>
      <c r="K258" s="44" t="n">
        <v>-11.1</v>
      </c>
      <c r="L258" s="44" t="n">
        <v>22.5</v>
      </c>
    </row>
    <row r="259" customFormat="false" ht="15.75" hidden="false" customHeight="false" outlineLevel="0" collapsed="false">
      <c r="J259" s="44" t="n">
        <v>147</v>
      </c>
      <c r="K259" s="44" t="n">
        <v>-10.1</v>
      </c>
      <c r="L259" s="44" t="n">
        <v>23.8</v>
      </c>
    </row>
    <row r="260" customFormat="false" ht="15.75" hidden="false" customHeight="false" outlineLevel="0" collapsed="false">
      <c r="J260" s="44" t="n">
        <v>148</v>
      </c>
      <c r="K260" s="44" t="n">
        <v>-9</v>
      </c>
      <c r="L260" s="44" t="n">
        <v>24.5</v>
      </c>
    </row>
    <row r="261" customFormat="false" ht="15.75" hidden="false" customHeight="false" outlineLevel="0" collapsed="false">
      <c r="J261" s="44" t="n">
        <v>149</v>
      </c>
      <c r="K261" s="44" t="n">
        <v>-9</v>
      </c>
      <c r="L261" s="44" t="n">
        <v>24.5</v>
      </c>
    </row>
    <row r="262" customFormat="false" ht="15.75" hidden="false" customHeight="false" outlineLevel="0" collapsed="false">
      <c r="J262" s="44" t="n">
        <v>150</v>
      </c>
      <c r="K262" s="44" t="n">
        <v>-9.8</v>
      </c>
      <c r="L262" s="44" t="n">
        <v>24.2</v>
      </c>
    </row>
    <row r="263" customFormat="false" ht="15.75" hidden="false" customHeight="false" outlineLevel="0" collapsed="false">
      <c r="J263" s="44" t="n">
        <v>151</v>
      </c>
      <c r="K263" s="44" t="n">
        <v>-9.6</v>
      </c>
      <c r="L263" s="44" t="n">
        <v>22.4</v>
      </c>
    </row>
    <row r="264" customFormat="false" ht="15.75" hidden="false" customHeight="false" outlineLevel="0" collapsed="false">
      <c r="J264" s="44" t="n">
        <v>152</v>
      </c>
      <c r="K264" s="44" t="n">
        <v>-9.9</v>
      </c>
      <c r="L264" s="44" t="n">
        <v>22</v>
      </c>
    </row>
    <row r="265" customFormat="false" ht="15.75" hidden="false" customHeight="false" outlineLevel="0" collapsed="false">
      <c r="J265" s="44" t="n">
        <v>153</v>
      </c>
      <c r="K265" s="44" t="n">
        <v>-9.6</v>
      </c>
      <c r="L265" s="44" t="n">
        <v>21.1</v>
      </c>
    </row>
    <row r="266" customFormat="false" ht="15.75" hidden="false" customHeight="false" outlineLevel="0" collapsed="false">
      <c r="J266" s="44" t="n">
        <v>154</v>
      </c>
      <c r="K266" s="44" t="n">
        <v>-11.1</v>
      </c>
      <c r="L266" s="44" t="n">
        <v>22.3</v>
      </c>
    </row>
    <row r="267" customFormat="false" ht="15.75" hidden="false" customHeight="false" outlineLevel="0" collapsed="false">
      <c r="J267" s="44" t="n">
        <v>155</v>
      </c>
      <c r="K267" s="44" t="n">
        <v>-10.9</v>
      </c>
      <c r="L267" s="44" t="n">
        <v>21.8</v>
      </c>
    </row>
    <row r="268" customFormat="false" ht="15.75" hidden="false" customHeight="false" outlineLevel="0" collapsed="false">
      <c r="J268" s="44" t="n">
        <v>156</v>
      </c>
      <c r="K268" s="44" t="n">
        <v>-12.7</v>
      </c>
      <c r="L268" s="44" t="n">
        <v>19.2</v>
      </c>
    </row>
    <row r="269" customFormat="false" ht="15.75" hidden="false" customHeight="false" outlineLevel="0" collapsed="false">
      <c r="J269" s="44" t="n">
        <v>157</v>
      </c>
      <c r="K269" s="44" t="n">
        <v>-13.3</v>
      </c>
      <c r="L269" s="44" t="n">
        <v>20.8</v>
      </c>
    </row>
    <row r="270" customFormat="false" ht="15.75" hidden="false" customHeight="false" outlineLevel="0" collapsed="false">
      <c r="J270" s="44" t="n">
        <v>158</v>
      </c>
      <c r="K270" s="44" t="n">
        <v>-10.8</v>
      </c>
      <c r="L270" s="44" t="n">
        <v>23.2</v>
      </c>
    </row>
    <row r="271" customFormat="false" ht="15.75" hidden="false" customHeight="false" outlineLevel="0" collapsed="false">
      <c r="J271" s="44" t="n">
        <v>159</v>
      </c>
      <c r="K271" s="44" t="n">
        <v>-10.5</v>
      </c>
      <c r="L271" s="44" t="n">
        <v>23.6</v>
      </c>
    </row>
    <row r="272" customFormat="false" ht="15.75" hidden="false" customHeight="false" outlineLevel="0" collapsed="false">
      <c r="J272" s="44" t="n">
        <v>160</v>
      </c>
      <c r="K272" s="44" t="n">
        <v>-10.7</v>
      </c>
      <c r="L272" s="44" t="n">
        <v>20.8</v>
      </c>
    </row>
    <row r="273" customFormat="false" ht="15.75" hidden="false" customHeight="false" outlineLevel="0" collapsed="false">
      <c r="J273" s="44" t="n">
        <v>161</v>
      </c>
      <c r="K273" s="44" t="n">
        <v>-13.4</v>
      </c>
      <c r="L273" s="44" t="n">
        <v>20.1</v>
      </c>
    </row>
    <row r="274" customFormat="false" ht="15.75" hidden="false" customHeight="false" outlineLevel="0" collapsed="false">
      <c r="J274" s="44" t="n">
        <v>162</v>
      </c>
      <c r="K274" s="44" t="n">
        <v>-12.7</v>
      </c>
      <c r="L274" s="44" t="n">
        <v>21.2</v>
      </c>
    </row>
    <row r="275" customFormat="false" ht="15.75" hidden="false" customHeight="false" outlineLevel="0" collapsed="false">
      <c r="J275" s="44" t="n">
        <v>163</v>
      </c>
      <c r="K275" s="44" t="n">
        <v>-13.9</v>
      </c>
      <c r="L275" s="44" t="n">
        <v>21.1</v>
      </c>
    </row>
    <row r="276" customFormat="false" ht="15.75" hidden="false" customHeight="false" outlineLevel="0" collapsed="false">
      <c r="J276" s="44" t="n">
        <v>164</v>
      </c>
      <c r="K276" s="44" t="n">
        <v>-11</v>
      </c>
      <c r="L276" s="44" t="n">
        <v>23</v>
      </c>
    </row>
    <row r="277" customFormat="false" ht="15.75" hidden="false" customHeight="false" outlineLevel="0" collapsed="false">
      <c r="J277" s="44" t="n">
        <v>165</v>
      </c>
      <c r="K277" s="44" t="n">
        <v>-9.6</v>
      </c>
      <c r="L277" s="44" t="n">
        <v>24</v>
      </c>
    </row>
    <row r="278" customFormat="false" ht="15.75" hidden="false" customHeight="false" outlineLevel="0" collapsed="false">
      <c r="J278" s="44" t="n">
        <v>166</v>
      </c>
      <c r="K278" s="44" t="n">
        <v>-8</v>
      </c>
      <c r="L278" s="44" t="n">
        <v>23.5</v>
      </c>
    </row>
    <row r="279" customFormat="false" ht="15.75" hidden="false" customHeight="false" outlineLevel="0" collapsed="false">
      <c r="J279" s="44" t="n">
        <v>167</v>
      </c>
      <c r="K279" s="44" t="n">
        <v>-10.4</v>
      </c>
      <c r="L279" s="44" t="n">
        <v>22</v>
      </c>
    </row>
    <row r="280" customFormat="false" ht="15.75" hidden="false" customHeight="false" outlineLevel="0" collapsed="false">
      <c r="J280" s="44" t="n">
        <v>168</v>
      </c>
      <c r="K280" s="44" t="n">
        <v>-10.8</v>
      </c>
      <c r="L280" s="44" t="n">
        <v>22.4</v>
      </c>
    </row>
    <row r="281" customFormat="false" ht="15.75" hidden="false" customHeight="false" outlineLevel="0" collapsed="false">
      <c r="J281" s="44" t="n">
        <v>169</v>
      </c>
      <c r="K281" s="44" t="n">
        <v>-10</v>
      </c>
      <c r="L281" s="44" t="n">
        <v>24.4</v>
      </c>
    </row>
    <row r="282" customFormat="false" ht="15.75" hidden="false" customHeight="false" outlineLevel="0" collapsed="false">
      <c r="J282" s="44" t="n">
        <v>170</v>
      </c>
      <c r="K282" s="44" t="n">
        <v>-10</v>
      </c>
      <c r="L282" s="44" t="n">
        <v>21.8</v>
      </c>
    </row>
    <row r="283" customFormat="false" ht="15.75" hidden="false" customHeight="false" outlineLevel="0" collapsed="false">
      <c r="J283" s="44" t="n">
        <v>171</v>
      </c>
      <c r="K283" s="44" t="n">
        <v>-9.4</v>
      </c>
      <c r="L283" s="44" t="n">
        <v>23.7</v>
      </c>
    </row>
    <row r="284" customFormat="false" ht="15.75" hidden="false" customHeight="false" outlineLevel="0" collapsed="false">
      <c r="J284" s="44" t="n">
        <v>172</v>
      </c>
      <c r="K284" s="44" t="n">
        <v>-9.5</v>
      </c>
      <c r="L284" s="44" t="n">
        <v>24.8</v>
      </c>
    </row>
    <row r="285" customFormat="false" ht="15.75" hidden="false" customHeight="false" outlineLevel="0" collapsed="false">
      <c r="J285" s="44" t="n">
        <v>173</v>
      </c>
      <c r="K285" s="44" t="n">
        <v>-10.2</v>
      </c>
      <c r="L285" s="44" t="n">
        <v>24.1</v>
      </c>
    </row>
    <row r="286" customFormat="false" ht="15.75" hidden="false" customHeight="false" outlineLevel="0" collapsed="false">
      <c r="J286" s="44" t="n">
        <v>174</v>
      </c>
      <c r="K286" s="44" t="n">
        <v>-10.9</v>
      </c>
      <c r="L286" s="44" t="n">
        <v>23</v>
      </c>
    </row>
    <row r="287" customFormat="false" ht="15.75" hidden="false" customHeight="false" outlineLevel="0" collapsed="false">
      <c r="J287" s="44" t="n">
        <v>175</v>
      </c>
      <c r="K287" s="44" t="n">
        <v>-10.6</v>
      </c>
      <c r="L287" s="44" t="n">
        <v>22.5</v>
      </c>
    </row>
    <row r="288" customFormat="false" ht="15.75" hidden="false" customHeight="false" outlineLevel="0" collapsed="false">
      <c r="J288" s="44" t="n">
        <v>176</v>
      </c>
      <c r="K288" s="44" t="n">
        <v>-10.5</v>
      </c>
      <c r="L288" s="44" t="n">
        <v>21.8</v>
      </c>
    </row>
    <row r="289" customFormat="false" ht="15.75" hidden="false" customHeight="false" outlineLevel="0" collapsed="false">
      <c r="J289" s="44" t="n">
        <v>177</v>
      </c>
      <c r="K289" s="44" t="n">
        <v>-12.9</v>
      </c>
      <c r="L289" s="44" t="n">
        <v>19.4</v>
      </c>
    </row>
    <row r="290" customFormat="false" ht="15.75" hidden="false" customHeight="false" outlineLevel="0" collapsed="false">
      <c r="J290" s="44" t="n">
        <v>178</v>
      </c>
      <c r="K290" s="44" t="n">
        <v>-14.9</v>
      </c>
      <c r="L290" s="44" t="n">
        <v>18.6</v>
      </c>
    </row>
    <row r="291" customFormat="false" ht="15.75" hidden="false" customHeight="false" outlineLevel="0" collapsed="false">
      <c r="J291" s="44" t="n">
        <v>179</v>
      </c>
      <c r="K291" s="44" t="n">
        <v>-13.6</v>
      </c>
      <c r="L291" s="44" t="n">
        <v>19.8</v>
      </c>
    </row>
    <row r="292" customFormat="false" ht="15.75" hidden="false" customHeight="false" outlineLevel="0" collapsed="false">
      <c r="J292" s="44" t="n">
        <v>180</v>
      </c>
      <c r="K292" s="44" t="n">
        <v>-11.1</v>
      </c>
      <c r="L292" s="44" t="n">
        <v>21.3</v>
      </c>
    </row>
    <row r="293" customFormat="false" ht="15.75" hidden="false" customHeight="false" outlineLevel="0" collapsed="false">
      <c r="J293" s="44" t="n">
        <v>181</v>
      </c>
      <c r="K293" s="44" t="n">
        <v>-11.4</v>
      </c>
      <c r="L293" s="44" t="n">
        <v>21</v>
      </c>
    </row>
    <row r="294" customFormat="false" ht="15.75" hidden="false" customHeight="false" outlineLevel="0" collapsed="false">
      <c r="J294" s="44" t="n">
        <v>182</v>
      </c>
      <c r="K294" s="44" t="n">
        <v>-13.1</v>
      </c>
      <c r="L294" s="44" t="n">
        <v>20.4</v>
      </c>
    </row>
    <row r="295" customFormat="false" ht="15.75" hidden="false" customHeight="false" outlineLevel="0" collapsed="false">
      <c r="J295" s="44" t="n">
        <v>183</v>
      </c>
      <c r="K295" s="44" t="n">
        <v>-14.4</v>
      </c>
      <c r="L295" s="44" t="n">
        <v>18.7</v>
      </c>
    </row>
    <row r="296" customFormat="false" ht="15.75" hidden="false" customHeight="false" outlineLevel="0" collapsed="false">
      <c r="J296" s="44" t="n">
        <v>184</v>
      </c>
      <c r="K296" s="44" t="n">
        <v>-15.9</v>
      </c>
      <c r="L296" s="44" t="n">
        <v>16.2</v>
      </c>
    </row>
    <row r="297" customFormat="false" ht="15.75" hidden="false" customHeight="false" outlineLevel="0" collapsed="false">
      <c r="J297" s="44" t="n">
        <v>185</v>
      </c>
      <c r="K297" s="44" t="n">
        <v>-16</v>
      </c>
      <c r="L297" s="44" t="n">
        <v>19</v>
      </c>
    </row>
    <row r="298" customFormat="false" ht="15.75" hidden="false" customHeight="false" outlineLevel="0" collapsed="false">
      <c r="J298" s="44" t="n">
        <v>186</v>
      </c>
      <c r="K298" s="44" t="n">
        <v>-13.3</v>
      </c>
      <c r="L298" s="44" t="n">
        <v>19.2</v>
      </c>
    </row>
    <row r="299" customFormat="false" ht="15.75" hidden="false" customHeight="false" outlineLevel="0" collapsed="false">
      <c r="J299" s="44" t="n">
        <v>187</v>
      </c>
      <c r="K299" s="44" t="n">
        <v>-13.3</v>
      </c>
      <c r="L299" s="44" t="n">
        <v>21.2</v>
      </c>
    </row>
    <row r="300" customFormat="false" ht="15.75" hidden="false" customHeight="false" outlineLevel="0" collapsed="false">
      <c r="J300" s="44" t="n">
        <v>188</v>
      </c>
      <c r="K300" s="44" t="n">
        <v>-12</v>
      </c>
      <c r="L300" s="44" t="n">
        <v>21.1</v>
      </c>
    </row>
    <row r="301" customFormat="false" ht="15.75" hidden="false" customHeight="false" outlineLevel="0" collapsed="false">
      <c r="J301" s="44" t="n">
        <v>189</v>
      </c>
      <c r="K301" s="44" t="n">
        <v>-11.5</v>
      </c>
      <c r="L301" s="44" t="n">
        <v>22.6</v>
      </c>
    </row>
    <row r="302" customFormat="false" ht="15.75" hidden="false" customHeight="false" outlineLevel="0" collapsed="false">
      <c r="J302" s="44" t="n">
        <v>190</v>
      </c>
      <c r="K302" s="44" t="n">
        <v>-10.5</v>
      </c>
      <c r="L302" s="44" t="n">
        <v>24.2</v>
      </c>
    </row>
    <row r="303" customFormat="false" ht="15.75" hidden="false" customHeight="false" outlineLevel="0" collapsed="false">
      <c r="J303" s="44" t="n">
        <v>191</v>
      </c>
      <c r="K303" s="44" t="n">
        <v>-9.6</v>
      </c>
      <c r="L303" s="44" t="n">
        <v>22.9</v>
      </c>
    </row>
    <row r="304" customFormat="false" ht="15.75" hidden="false" customHeight="false" outlineLevel="0" collapsed="false">
      <c r="J304" s="44" t="n">
        <v>192</v>
      </c>
      <c r="K304" s="44" t="n">
        <v>-10.7</v>
      </c>
      <c r="L304" s="44" t="n">
        <v>22.6</v>
      </c>
    </row>
    <row r="305" customFormat="false" ht="15.75" hidden="false" customHeight="false" outlineLevel="0" collapsed="false">
      <c r="J305" s="44" t="n">
        <v>193</v>
      </c>
      <c r="K305" s="44" t="n">
        <v>-10.5</v>
      </c>
      <c r="L305" s="44" t="n">
        <v>22.5</v>
      </c>
    </row>
    <row r="306" customFormat="false" ht="15.75" hidden="false" customHeight="false" outlineLevel="0" collapsed="false">
      <c r="J306" s="44" t="n">
        <v>194</v>
      </c>
      <c r="K306" s="44" t="n">
        <v>-10.8</v>
      </c>
      <c r="L306" s="44" t="n">
        <v>20.3</v>
      </c>
    </row>
    <row r="307" customFormat="false" ht="15.75" hidden="false" customHeight="false" outlineLevel="0" collapsed="false">
      <c r="J307" s="44" t="n">
        <v>195</v>
      </c>
      <c r="K307" s="44" t="n">
        <v>-11.3</v>
      </c>
      <c r="L307" s="44" t="n">
        <v>22.4</v>
      </c>
    </row>
    <row r="308" customFormat="false" ht="15.75" hidden="false" customHeight="false" outlineLevel="0" collapsed="false">
      <c r="J308" s="44" t="n">
        <v>196</v>
      </c>
      <c r="K308" s="44" t="n">
        <v>-11</v>
      </c>
      <c r="L308" s="44" t="n">
        <v>22.2</v>
      </c>
    </row>
    <row r="309" customFormat="false" ht="15.75" hidden="false" customHeight="false" outlineLevel="0" collapsed="false">
      <c r="J309" s="44" t="n">
        <v>197</v>
      </c>
      <c r="K309" s="44" t="n">
        <v>-12.8</v>
      </c>
      <c r="L309" s="44" t="n">
        <v>19.2</v>
      </c>
    </row>
    <row r="310" customFormat="false" ht="15.75" hidden="false" customHeight="false" outlineLevel="0" collapsed="false">
      <c r="J310" s="44" t="n">
        <v>198</v>
      </c>
      <c r="K310" s="44" t="n">
        <v>-12.3</v>
      </c>
      <c r="L310" s="44" t="n">
        <v>20.2</v>
      </c>
    </row>
    <row r="311" customFormat="false" ht="15.75" hidden="false" customHeight="false" outlineLevel="0" collapsed="false">
      <c r="J311" s="44" t="n">
        <v>199</v>
      </c>
      <c r="K311" s="44" t="n">
        <v>-12</v>
      </c>
      <c r="L311" s="44" t="n">
        <v>21.5</v>
      </c>
    </row>
    <row r="312" customFormat="false" ht="15.75" hidden="false" customHeight="false" outlineLevel="0" collapsed="false">
      <c r="K312" s="47" t="n">
        <f aca="false">MAX(K138:K311)-MIN(K138:K311)</f>
        <v>10.6</v>
      </c>
      <c r="L312" s="47" t="n">
        <f aca="false">MAX(L138:L311)-MIN(L138:L311)</f>
        <v>10.4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10</TotalTime>
  <Application>LibreOffice/26.2.1.2$Linux_X86_64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2026-04-08T18:13:03Z</dcterms:modified>
  <cp:revision>1</cp:revision>
  <dc:subject/>
  <dc:title/>
</cp:coreProperties>
</file>